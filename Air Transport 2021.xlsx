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4.xml" ContentType="application/vnd.openxmlformats-officedocument.drawing+xml"/>
  <Override PartName="/xl/drawings/drawing13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15.xml" ContentType="application/vnd.openxmlformats-officedocument.drawing+xml"/>
  <Override PartName="/xl/drawings/drawing2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2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5"/>
  </bookViews>
  <sheets>
    <sheet name="Index " sheetId="1" state="visible" r:id="rId3"/>
    <sheet name="1" sheetId="2" state="visible" r:id="rId4"/>
    <sheet name="2" sheetId="3" state="visible" r:id="rId5"/>
    <sheet name="3" sheetId="4" state="visible" r:id="rId6"/>
    <sheet name="4" sheetId="5" state="visible" r:id="rId7"/>
    <sheet name="5" sheetId="6" state="visible" r:id="rId8"/>
    <sheet name="6" sheetId="7" state="visible" r:id="rId9"/>
    <sheet name="7" sheetId="8" state="visible" r:id="rId10"/>
    <sheet name="8" sheetId="9" state="visible" r:id="rId11"/>
    <sheet name="9" sheetId="10" state="visible" r:id="rId12"/>
    <sheet name="10" sheetId="11" state="visible" r:id="rId13"/>
    <sheet name="11" sheetId="12" state="visible" r:id="rId14"/>
    <sheet name="12" sheetId="13" state="visible" r:id="rId15"/>
    <sheet name="13" sheetId="14" state="visible" r:id="rId16"/>
    <sheet name="14" sheetId="15" state="visible" r:id="rId17"/>
    <sheet name="15" sheetId="16" state="visible" r:id="rId18"/>
  </sheets>
  <definedNames>
    <definedName function="false" hidden="false" localSheetId="1" name="_xlnm.Print_Area" vbProcedure="false">'1'!$A$1:$U$79</definedName>
    <definedName function="false" hidden="false" localSheetId="10" name="_xlnm.Print_Area" vbProcedure="false">'10'!$A$1:$C$20</definedName>
    <definedName function="false" hidden="false" localSheetId="11" name="_xlnm.Print_Area" vbProcedure="false">'11'!$A$1:$C$20</definedName>
    <definedName function="false" hidden="false" localSheetId="12" name="_xlnm.Print_Area" vbProcedure="false">'12'!$A$1:$C$20</definedName>
    <definedName function="false" hidden="false" localSheetId="13" name="_xlnm.Print_Area" vbProcedure="false">'13'!$A$1:$C$20</definedName>
    <definedName function="false" hidden="false" localSheetId="14" name="_xlnm.Print_Area" vbProcedure="false">'14'!$A$1:$C$20</definedName>
    <definedName function="false" hidden="false" localSheetId="15" name="_xlnm.Print_Area" vbProcedure="false">'15'!$A$1:$C$20</definedName>
    <definedName function="false" hidden="false" localSheetId="2" name="_xlnm.Print_Area" vbProcedure="false">'2'!$A$1:$I$45</definedName>
    <definedName function="false" hidden="false" localSheetId="3" name="_xlnm.Print_Area" vbProcedure="false">'3'!$A$1:$I$24</definedName>
    <definedName function="false" hidden="false" localSheetId="4" name="_xlnm.Print_Area" vbProcedure="false">'4'!$A$1:$G$24</definedName>
    <definedName function="false" hidden="false" localSheetId="5" name="_xlnm.Print_Area" vbProcedure="false">'5'!$A$1:$L$70</definedName>
    <definedName function="false" hidden="false" localSheetId="6" name="_xlnm.Print_Area" vbProcedure="false">'6'!$A$1:$N$38</definedName>
    <definedName function="false" hidden="false" localSheetId="7" name="_xlnm.Print_Area" vbProcedure="false">'7'!$A$1:$N$38</definedName>
    <definedName function="false" hidden="false" localSheetId="8" name="_xlnm.Print_Area" vbProcedure="false">'8'!$A$1:$N$24</definedName>
    <definedName function="false" hidden="false" localSheetId="9" name="_xlnm.Print_Area" vbProcedure="false">'9'!$A$1:$N$16</definedName>
    <definedName function="false" hidden="false" localSheetId="0" name="_xlnm.Print_Area" vbProcedure="false">'Index '!$A$1:$F$18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<sst xmlns="http://schemas.openxmlformats.org/spreadsheetml/2006/main" count="991" uniqueCount="177">
  <si>
    <r>
      <rPr>
        <b val="true"/>
        <sz val="11"/>
        <color rgb="FF364C75"/>
        <rFont val="Frutiger LT Arabic 55 Roman"/>
        <family val="0"/>
      </rPr>
      <t xml:space="preserve">Page number</t>
    </r>
    <r>
      <rPr>
        <sz val="10"/>
        <rFont val="Frutiger LT 55 Roman"/>
        <family val="0"/>
      </rPr>
      <t xml:space="preserve"> </t>
    </r>
  </si>
  <si>
    <r>
      <rPr>
        <b val="true"/>
        <sz val="11"/>
        <color rgb="FF364C75"/>
        <rFont val="Frutiger LT Arabic 45 Light"/>
        <family val="0"/>
      </rPr>
      <t xml:space="preserve">Title</t>
    </r>
    <r>
      <rPr>
        <sz val="10"/>
        <rFont val="Frutiger LT Arabic 45 Light"/>
        <family val="0"/>
      </rPr>
      <t xml:space="preserve"> </t>
    </r>
  </si>
  <si>
    <t xml:space="preserve">Air traffic by Carrier 2020-2021</t>
  </si>
  <si>
    <t xml:space="preserve">Air traffic for International Airports in the Kingdom 2020-2021</t>
  </si>
  <si>
    <t xml:space="preserve">Air traffic of International Airports in the Kingdom by Freight Volume 2020-2021  </t>
  </si>
  <si>
    <t xml:space="preserve">Air traffic at the Kingdom’s Domestic Airports 2020-2021</t>
  </si>
  <si>
    <t xml:space="preserve">Air traffic in the Kingdom’s Airports by Operator 2020-2021</t>
  </si>
  <si>
    <t xml:space="preserve">Number of Flights in the Kingdom’s Airports by Airport 2010-2021</t>
  </si>
  <si>
    <t xml:space="preserve">Number of Passengers in the Kingdom’s Airports by Airport 2010-2021</t>
  </si>
  <si>
    <t xml:space="preserve">Freight Volume at the Kingdom's International Airports by Airport 2010-2021</t>
  </si>
  <si>
    <t xml:space="preserve">Number of Flights in the Kingdom’s Airports by Operator 2010-2021</t>
  </si>
  <si>
    <t xml:space="preserve">Top 10 International Departing Destinations by Number of Passengers from the Kingdom's Airports in 2021</t>
  </si>
  <si>
    <t xml:space="preserve">Top 10 International Arrival Destinations by Number of Passengers from the Kingdom's Airports in 2021</t>
  </si>
  <si>
    <t xml:space="preserve">Top 10 International Departing Destinations by Number of Flights from the Kingdom's Airports in 2021 </t>
  </si>
  <si>
    <t xml:space="preserve">Top 10 International Arrival Destinations by Number of Flights from the Kingdom's Airports in 2021 </t>
  </si>
  <si>
    <t xml:space="preserve">Top 10 International Departing Destinations by Shipment from the Kingdom's Airports in 2021</t>
  </si>
  <si>
    <t xml:space="preserve">Top Ten International Destinations Arriving at the Kingdom’s Airports by Fright Volume 2021 </t>
  </si>
  <si>
    <t xml:space="preserve">Traffic and transportation</t>
  </si>
  <si>
    <t xml:space="preserve">Air traffic by Carrier 2021</t>
  </si>
  <si>
    <t xml:space="preserve">No.</t>
  </si>
  <si>
    <r>
      <rPr>
        <sz val="8"/>
        <color rgb="FFFFFFFF"/>
        <rFont val="Frutiger LT Arabic 45 Light"/>
        <family val="0"/>
      </rPr>
      <t xml:space="preserve">Airport</t>
    </r>
    <r>
      <rPr>
        <sz val="10"/>
        <color rgb="FFFFFFFF"/>
        <rFont val="Garamond"/>
        <family val="1"/>
      </rPr>
      <t xml:space="preserve">  
</t>
    </r>
  </si>
  <si>
    <r>
      <rPr>
        <sz val="8"/>
        <color rgb="FFFFFFFF"/>
        <rFont val="Frutiger LT Arabic 45 Light"/>
        <family val="0"/>
      </rPr>
      <t xml:space="preserve">Aircraft of Saudi Companies</t>
    </r>
    <r>
      <rPr>
        <sz val="10"/>
        <color rgb="FFFFFFFF"/>
        <rFont val="Garamond"/>
        <family val="1"/>
      </rPr>
      <t xml:space="preserve"> </t>
    </r>
  </si>
  <si>
    <r>
      <rPr>
        <sz val="8"/>
        <color rgb="FFFFFFFF"/>
        <rFont val="Frutiger LT Arabic 45 Light"/>
        <family val="0"/>
      </rPr>
      <t xml:space="preserve">Aircraft of Foreign Companies</t>
    </r>
    <r>
      <rPr>
        <sz val="10"/>
        <color rgb="FFFFFFFF"/>
        <rFont val="Garamond"/>
        <family val="1"/>
      </rPr>
      <t xml:space="preserve">  </t>
    </r>
  </si>
  <si>
    <r>
      <rPr>
        <sz val="8"/>
        <color rgb="FFFFFFFF"/>
        <rFont val="Frutiger LT Arabic 45 Light"/>
        <family val="0"/>
      </rPr>
      <t xml:space="preserve"> </t>
    </r>
    <r>
      <rPr>
        <sz val="10"/>
        <color rgb="FFFFFFFF"/>
        <rFont val="Garamond"/>
        <family val="1"/>
      </rPr>
      <t xml:space="preserve">Number of Flights  
</t>
    </r>
  </si>
  <si>
    <r>
      <rPr>
        <sz val="8"/>
        <color rgb="FFFFFFFF"/>
        <rFont val="Frutiger LT Arabic 45 Light"/>
        <family val="0"/>
      </rPr>
      <t xml:space="preserve"> </t>
    </r>
    <r>
      <rPr>
        <sz val="10"/>
        <color rgb="FFFFFFFF"/>
        <rFont val="Garamond"/>
        <family val="1"/>
      </rPr>
      <t xml:space="preserve">Arriving                      </t>
    </r>
  </si>
  <si>
    <r>
      <rPr>
        <sz val="8"/>
        <color rgb="FFFFFFFF"/>
        <rFont val="Frutiger LT Arabic 45 Light"/>
        <family val="0"/>
      </rPr>
      <t xml:space="preserve">Departing</t>
    </r>
    <r>
      <rPr>
        <sz val="10"/>
        <color rgb="FFFFFFFF"/>
        <rFont val="Garamond"/>
        <family val="1"/>
      </rPr>
      <t xml:space="preserve">           </t>
    </r>
  </si>
  <si>
    <r>
      <rPr>
        <sz val="8"/>
        <color rgb="FFFFFFFF"/>
        <rFont val="Frutiger LT Arabic 45 Light"/>
        <family val="0"/>
      </rPr>
      <t xml:space="preserve"> </t>
    </r>
    <r>
      <rPr>
        <sz val="10"/>
        <color rgb="FFFFFFFF"/>
        <rFont val="Garamond"/>
        <family val="1"/>
      </rPr>
      <t xml:space="preserve">Number of Flights  
 </t>
    </r>
  </si>
  <si>
    <r>
      <rPr>
        <sz val="8"/>
        <color rgb="FFFFFFFF"/>
        <rFont val="Frutiger LT Arabic 45 Light"/>
        <family val="0"/>
      </rPr>
      <t xml:space="preserve">        </t>
    </r>
    <r>
      <rPr>
        <sz val="10"/>
        <color rgb="FFFFFFFF"/>
        <rFont val="Garamond"/>
        <family val="1"/>
      </rPr>
      <t xml:space="preserve">Arriving                   </t>
    </r>
  </si>
  <si>
    <r>
      <rPr>
        <sz val="8"/>
        <color rgb="FFFFFFFF"/>
        <rFont val="Frutiger LT Arabic 45 Light"/>
        <family val="0"/>
      </rPr>
      <t xml:space="preserve">Departing</t>
    </r>
    <r>
      <rPr>
        <sz val="10"/>
        <color rgb="FFFFFFFF"/>
        <rFont val="Garamond"/>
        <family val="1"/>
      </rPr>
      <t xml:space="preserve">              </t>
    </r>
  </si>
  <si>
    <r>
      <rPr>
        <sz val="8"/>
        <color rgb="FFFFFFFF"/>
        <rFont val="Frutiger LT Arabic 45 Light"/>
        <family val="0"/>
      </rPr>
      <t xml:space="preserve">Passengers</t>
    </r>
    <r>
      <rPr>
        <sz val="10"/>
        <color rgb="FFFFFFFF"/>
        <rFont val="Garamond"/>
        <family val="1"/>
      </rPr>
      <t xml:space="preserve"> 
</t>
    </r>
  </si>
  <si>
    <r>
      <rPr>
        <sz val="8"/>
        <color rgb="FFFFFFFF"/>
        <rFont val="Frutiger LT Arabic 45 Light"/>
        <family val="0"/>
      </rPr>
      <t xml:space="preserve">Tonnage (ton)</t>
    </r>
    <r>
      <rPr>
        <sz val="10"/>
        <color rgb="FFFFFFFF"/>
        <rFont val="Garamond"/>
        <family val="1"/>
      </rPr>
      <t xml:space="preserve"> 
</t>
    </r>
  </si>
  <si>
    <r>
      <rPr>
        <sz val="8"/>
        <color rgb="FFFFFFFF"/>
        <rFont val="Frutiger LT Arabic 45 Light"/>
        <family val="0"/>
      </rPr>
      <t xml:space="preserve">Postal (ton)</t>
    </r>
    <r>
      <rPr>
        <sz val="10"/>
        <color rgb="FFFFFFFF"/>
        <rFont val="Garamond"/>
        <family val="1"/>
      </rPr>
      <t xml:space="preserve"> </t>
    </r>
  </si>
  <si>
    <r>
      <rPr>
        <sz val="8"/>
        <color rgb="FFFFFFFF"/>
        <rFont val="Frutiger LT Arabic 45 Light"/>
        <family val="0"/>
      </rPr>
      <t xml:space="preserve">Tonnage (ton)</t>
    </r>
    <r>
      <rPr>
        <sz val="10"/>
        <color rgb="FFFFFFFF"/>
        <rFont val="Garamond"/>
        <family val="1"/>
      </rPr>
      <t xml:space="preserve"> </t>
    </r>
  </si>
  <si>
    <t xml:space="preserve">King Saud Bin Abdulaziz Airport (Al-Baha)</t>
  </si>
  <si>
    <t xml:space="preserve">_</t>
  </si>
  <si>
    <r>
      <rPr>
        <sz val="8"/>
        <color rgb="FFFFFFFF"/>
        <rFont val="Frutiger LT Arabic 55 Roman"/>
        <family val="0"/>
      </rPr>
      <t xml:space="preserve">Abha International Airport</t>
    </r>
    <r>
      <rPr>
        <sz val="10"/>
        <rFont val="Garamond"/>
        <family val="1"/>
      </rPr>
      <t xml:space="preserve"> </t>
    </r>
  </si>
  <si>
    <t xml:space="preserve">Al Jouf Airport</t>
  </si>
  <si>
    <r>
      <rPr>
        <sz val="8"/>
        <color rgb="FFFFFFFF"/>
        <rFont val="Frutiger LT Arabic 55 Roman"/>
        <family val="0"/>
      </rPr>
      <t xml:space="preserve">Al Qaisumah Airport</t>
    </r>
    <r>
      <rPr>
        <sz val="10"/>
        <rFont val="Garamond"/>
        <family val="1"/>
      </rPr>
      <t xml:space="preserve"> </t>
    </r>
  </si>
  <si>
    <t xml:space="preserve">Bisha Domestic Airport</t>
  </si>
  <si>
    <t xml:space="preserve">King Fahd International Airport</t>
  </si>
  <si>
    <t xml:space="preserve">Dawadmi Domestic Airport</t>
  </si>
  <si>
    <r>
      <rPr>
        <sz val="8"/>
        <color rgb="FFFFFFFF"/>
        <rFont val="Frutiger LT Arabic 55 Roman"/>
        <family val="0"/>
      </rPr>
      <t xml:space="preserve">Najran Regional Airport</t>
    </r>
    <r>
      <rPr>
        <sz val="10"/>
        <color rgb="FFFFFFFF"/>
        <rFont val="Garamond"/>
        <family val="1"/>
      </rPr>
      <t xml:space="preserve"> </t>
    </r>
  </si>
  <si>
    <r>
      <rPr>
        <sz val="8"/>
        <color rgb="FFFFFFFF"/>
        <rFont val="Frutiger LT Arabic 55 Roman"/>
        <family val="0"/>
      </rPr>
      <t xml:space="preserve"> </t>
    </r>
    <r>
      <rPr>
        <sz val="10"/>
        <color rgb="FFFFFFFF"/>
        <rFont val="Garamond"/>
        <family val="1"/>
      </rPr>
      <t xml:space="preserve">Al Wajh Domestic Airport</t>
    </r>
  </si>
  <si>
    <t xml:space="preserve">Prince Nayef Bin Abdulaziz International Airport - Al Qassim</t>
  </si>
  <si>
    <t xml:space="preserve">King Abdullah bin Abdulaziz Airport</t>
  </si>
  <si>
    <r>
      <rPr>
        <sz val="8"/>
        <color rgb="FFFFFFFF"/>
        <rFont val="Frutiger LT Arabic 55 Roman"/>
        <family val="0"/>
      </rPr>
      <t xml:space="preserve">Hail International Airport</t>
    </r>
    <r>
      <rPr>
        <sz val="10"/>
        <color rgb="FFFFFFFF"/>
        <rFont val="Garamond"/>
        <family val="1"/>
      </rPr>
      <t xml:space="preserve"> </t>
    </r>
  </si>
  <si>
    <r>
      <rPr>
        <sz val="8"/>
        <color rgb="FFFFFFFF"/>
        <rFont val="Frutiger LT Arabic 55 Roman"/>
        <family val="0"/>
      </rPr>
      <t xml:space="preserve">Al-Ahsa Airport</t>
    </r>
    <r>
      <rPr>
        <sz val="10"/>
        <color rgb="FFFFFFFF"/>
        <rFont val="Garamond"/>
        <family val="1"/>
      </rPr>
      <t xml:space="preserve"> </t>
    </r>
  </si>
  <si>
    <t xml:space="preserve">King Abdulaziz International Airport</t>
  </si>
  <si>
    <t xml:space="preserve">Prince Mohammed Bin Abdulaziz International Airport</t>
  </si>
  <si>
    <t xml:space="preserve">Neom Bay Airport</t>
  </si>
  <si>
    <t xml:space="preserve">Arar Domestic Airport</t>
  </si>
  <si>
    <r>
      <rPr>
        <sz val="8"/>
        <color rgb="FFFFFFFF"/>
        <rFont val="Frutiger LT Arabic 55 Roman"/>
        <family val="0"/>
      </rPr>
      <t xml:space="preserve">Rafha Domestic Airport</t>
    </r>
    <r>
      <rPr>
        <sz val="10"/>
        <rFont val="Garamond"/>
        <family val="1"/>
      </rPr>
      <t xml:space="preserve"> </t>
    </r>
  </si>
  <si>
    <r>
      <rPr>
        <sz val="8"/>
        <color rgb="FFFFFFFF"/>
        <rFont val="Frutiger LT Arabic 55 Roman"/>
        <family val="0"/>
      </rPr>
      <t xml:space="preserve">King Khalid International Airport</t>
    </r>
    <r>
      <rPr>
        <sz val="10"/>
        <rFont val="Garamond"/>
        <family val="1"/>
      </rPr>
      <t xml:space="preserve"> </t>
    </r>
  </si>
  <si>
    <t xml:space="preserve">Sharurah Domestic Airport</t>
  </si>
  <si>
    <t xml:space="preserve">Taif International Airport</t>
  </si>
  <si>
    <t xml:space="preserve">Turaif Domestic Airpor</t>
  </si>
  <si>
    <r>
      <rPr>
        <sz val="8"/>
        <color rgb="FFFFFFFF"/>
        <rFont val="Frutiger LT Arabic 55 Roman"/>
        <family val="0"/>
      </rPr>
      <t xml:space="preserve">Prince Sultan Bin Abdulaziz International Airport - Tabuk</t>
    </r>
    <r>
      <rPr>
        <sz val="10"/>
        <rFont val="Garamond"/>
        <family val="1"/>
      </rPr>
      <t xml:space="preserve"> </t>
    </r>
  </si>
  <si>
    <t xml:space="preserve">Prince Abdul Majeed bin Abdulaziz Domestic Airport</t>
  </si>
  <si>
    <t xml:space="preserve">Gurayat Domestic Airport</t>
  </si>
  <si>
    <t xml:space="preserve">Wadi Al Dawasir Airport</t>
  </si>
  <si>
    <t xml:space="preserve">Prince Abdul Mohsin Bin Abdulaziz international Airport</t>
  </si>
  <si>
    <r>
      <rPr>
        <sz val="8"/>
        <color rgb="FFFFFFFF"/>
        <rFont val="Frutiger LT Arabic 55 Roman"/>
        <family val="0"/>
      </rPr>
      <t xml:space="preserve">Rabigh Domestic Airport</t>
    </r>
    <r>
      <rPr>
        <sz val="10"/>
        <rFont val="Garamond"/>
        <family val="1"/>
      </rPr>
      <t xml:space="preserve"> </t>
    </r>
  </si>
  <si>
    <r>
      <rPr>
        <sz val="8"/>
        <color rgb="FFFFFFFF"/>
        <rFont val="Garamond"/>
        <family val="1"/>
      </rPr>
      <t xml:space="preserve">Total</t>
    </r>
    <r>
      <rPr>
        <sz val="10"/>
        <rFont val="Garamond"/>
        <family val="1"/>
      </rPr>
      <t xml:space="preserve"> </t>
    </r>
  </si>
  <si>
    <t xml:space="preserve">Air traffic by Carrier 2020</t>
  </si>
  <si>
    <r>
      <rPr>
        <sz val="8"/>
        <color rgb="FFFFFFFF"/>
        <rFont val="Frutiger LT Arabic 45 Light"/>
        <family val="0"/>
      </rPr>
      <t xml:space="preserve">Airport</t>
    </r>
    <r>
      <rPr>
        <sz val="10"/>
        <color rgb="FFFFFFFF"/>
        <rFont val="Frutiger LT Arabic 45 Light"/>
        <family val="0"/>
      </rPr>
      <t xml:space="preserve">  
</t>
    </r>
  </si>
  <si>
    <r>
      <rPr>
        <sz val="8"/>
        <color rgb="FFFFFFFF"/>
        <rFont val="Frutiger LT Arabic 45 Light"/>
        <family val="0"/>
      </rPr>
      <t xml:space="preserve">Aircraft of Saudi Companies</t>
    </r>
    <r>
      <rPr>
        <sz val="10"/>
        <color rgb="FFFFFFFF"/>
        <rFont val="Frutiger LT Arabic 45 Light"/>
        <family val="0"/>
      </rPr>
      <t xml:space="preserve"> </t>
    </r>
  </si>
  <si>
    <r>
      <rPr>
        <sz val="8"/>
        <color rgb="FFFFFFFF"/>
        <rFont val="Frutiger LT Arabic 45 Light"/>
        <family val="0"/>
      </rPr>
      <t xml:space="preserve">Aircraft of Foreign Companies</t>
    </r>
    <r>
      <rPr>
        <sz val="10"/>
        <color rgb="FFFFFFFF"/>
        <rFont val="Frutiger LT Arabic 45 Light"/>
        <family val="0"/>
      </rPr>
      <t xml:space="preserve"> </t>
    </r>
  </si>
  <si>
    <r>
      <rPr>
        <sz val="8"/>
        <color rgb="FFFFFFFF"/>
        <rFont val="Frutiger LT Arabic 45 Light"/>
        <family val="0"/>
      </rPr>
      <t xml:space="preserve"> </t>
    </r>
    <r>
      <rPr>
        <sz val="10"/>
        <color rgb="FFFFFFFF"/>
        <rFont val="Frutiger LT Arabic 45 Light"/>
        <family val="0"/>
      </rPr>
      <t xml:space="preserve">Number of Flights  
</t>
    </r>
  </si>
  <si>
    <r>
      <rPr>
        <sz val="8"/>
        <color rgb="FFFFFFFF"/>
        <rFont val="Frutiger LT Arabic 45 Light"/>
        <family val="0"/>
      </rPr>
      <t xml:space="preserve"> </t>
    </r>
    <r>
      <rPr>
        <sz val="10"/>
        <color rgb="FFFFFFFF"/>
        <rFont val="Frutiger LT Arabic 45 Light"/>
        <family val="0"/>
      </rPr>
      <t xml:space="preserve">Arriving                      </t>
    </r>
  </si>
  <si>
    <r>
      <rPr>
        <sz val="8"/>
        <color rgb="FFFFFFFF"/>
        <rFont val="Frutiger LT Arabic 45 Light"/>
        <family val="0"/>
      </rPr>
      <t xml:space="preserve">Departing</t>
    </r>
    <r>
      <rPr>
        <sz val="10"/>
        <color rgb="FFFFFFFF"/>
        <rFont val="Frutiger LT Arabic 45 Light"/>
        <family val="0"/>
      </rPr>
      <t xml:space="preserve">           </t>
    </r>
  </si>
  <si>
    <r>
      <rPr>
        <sz val="8"/>
        <color rgb="FFFFFFFF"/>
        <rFont val="Frutiger LT Arabic 45 Light"/>
        <family val="0"/>
      </rPr>
      <t xml:space="preserve"> </t>
    </r>
    <r>
      <rPr>
        <sz val="10"/>
        <color rgb="FFFFFFFF"/>
        <rFont val="Frutiger LT Arabic 45 Light"/>
        <family val="0"/>
      </rPr>
      <t xml:space="preserve">Number of Flights  
 </t>
    </r>
  </si>
  <si>
    <r>
      <rPr>
        <sz val="8"/>
        <color rgb="FFFFFFFF"/>
        <rFont val="Frutiger LT Arabic 45 Light"/>
        <family val="0"/>
      </rPr>
      <t xml:space="preserve">        </t>
    </r>
    <r>
      <rPr>
        <sz val="10"/>
        <color rgb="FFFFFFFF"/>
        <rFont val="Frutiger LT Arabic 45 Light"/>
        <family val="0"/>
      </rPr>
      <t xml:space="preserve">Arriving                   </t>
    </r>
  </si>
  <si>
    <r>
      <rPr>
        <sz val="8"/>
        <color rgb="FFFFFFFF"/>
        <rFont val="Frutiger LT Arabic 45 Light"/>
        <family val="0"/>
      </rPr>
      <t xml:space="preserve">Departing</t>
    </r>
    <r>
      <rPr>
        <sz val="10"/>
        <color rgb="FFFFFFFF"/>
        <rFont val="Frutiger LT Arabic 45 Light"/>
        <family val="0"/>
      </rPr>
      <t xml:space="preserve">              </t>
    </r>
  </si>
  <si>
    <r>
      <rPr>
        <sz val="8"/>
        <color rgb="FFFFFFFF"/>
        <rFont val="Frutiger LT Arabic 45 Light"/>
        <family val="0"/>
      </rPr>
      <t xml:space="preserve">Number of passengers</t>
    </r>
    <r>
      <rPr>
        <sz val="10"/>
        <color rgb="FFFFFFFF"/>
        <rFont val="Frutiger LT Arabic 45 Light"/>
        <family val="0"/>
      </rPr>
      <t xml:space="preserve"> 
</t>
    </r>
  </si>
  <si>
    <r>
      <rPr>
        <sz val="8"/>
        <color rgb="FFFFFFFF"/>
        <rFont val="Frutiger LT Arabic 45 Light"/>
        <family val="0"/>
      </rPr>
      <t xml:space="preserve">Tonnage (ton)</t>
    </r>
    <r>
      <rPr>
        <sz val="10"/>
        <color rgb="FFFFFFFF"/>
        <rFont val="Frutiger LT Arabic 45 Light"/>
        <family val="0"/>
      </rPr>
      <t xml:space="preserve"> 
</t>
    </r>
  </si>
  <si>
    <r>
      <rPr>
        <sz val="8"/>
        <color rgb="FFFFFFFF"/>
        <rFont val="Frutiger LT Arabic 45 Light"/>
        <family val="0"/>
      </rPr>
      <t xml:space="preserve">Postal (ton)</t>
    </r>
    <r>
      <rPr>
        <sz val="10"/>
        <color rgb="FFFFFFFF"/>
        <rFont val="Frutiger LT Arabic 45 Light"/>
        <family val="0"/>
      </rPr>
      <t xml:space="preserve"> </t>
    </r>
  </si>
  <si>
    <r>
      <rPr>
        <sz val="8"/>
        <color rgb="FFFFFFFF"/>
        <rFont val="Frutiger LT Arabic 45 Light"/>
        <family val="0"/>
      </rPr>
      <t xml:space="preserve">Passengers</t>
    </r>
    <r>
      <rPr>
        <sz val="10"/>
        <color rgb="FFFFFFFF"/>
        <rFont val="Frutiger LT Arabic 45 Light"/>
        <family val="0"/>
      </rPr>
      <t xml:space="preserve"> 
</t>
    </r>
  </si>
  <si>
    <r>
      <rPr>
        <sz val="8"/>
        <color rgb="FFFFFFFF"/>
        <rFont val="Frutiger LT Arabic 45 Light"/>
        <family val="0"/>
      </rPr>
      <t xml:space="preserve">Tonnage (ton)</t>
    </r>
    <r>
      <rPr>
        <sz val="10"/>
        <color rgb="FFFFFFFF"/>
        <rFont val="Frutiger LT Arabic 45 Light"/>
        <family val="0"/>
      </rPr>
      <t xml:space="preserve"> </t>
    </r>
  </si>
  <si>
    <r>
      <rPr>
        <sz val="8"/>
        <color rgb="FFFFFFFF"/>
        <rFont val="Frutiger LT Arabic 55 Roman"/>
        <family val="0"/>
      </rPr>
      <t xml:space="preserve">Najran Regional Airport</t>
    </r>
    <r>
      <rPr>
        <sz val="10"/>
        <rFont val="Garamond"/>
        <family val="1"/>
      </rPr>
      <t xml:space="preserve"> </t>
    </r>
  </si>
  <si>
    <r>
      <rPr>
        <sz val="8"/>
        <color rgb="FFFFFFFF"/>
        <rFont val="Frutiger LT Arabic 55 Roman"/>
        <family val="0"/>
      </rPr>
      <t xml:space="preserve">Hail International Airport</t>
    </r>
    <r>
      <rPr>
        <sz val="10"/>
        <rFont val="Garamond"/>
        <family val="1"/>
      </rPr>
      <t xml:space="preserve"> </t>
    </r>
  </si>
  <si>
    <r>
      <rPr>
        <sz val="8"/>
        <color rgb="FFFFFFFF"/>
        <rFont val="Frutiger LT Arabic 55 Roman"/>
        <family val="0"/>
      </rPr>
      <t xml:space="preserve">Al-Ahsa Airport</t>
    </r>
    <r>
      <rPr>
        <sz val="10"/>
        <rFont val="Garamond"/>
        <family val="1"/>
      </rPr>
      <t xml:space="preserve"> </t>
    </r>
  </si>
  <si>
    <r>
      <rPr>
        <sz val="7"/>
        <color rgb="FF969696"/>
        <rFont val="Frutiger LT Arabic 45 Light"/>
        <family val="0"/>
      </rPr>
      <t xml:space="preserve">Source:</t>
    </r>
    <r>
      <rPr>
        <sz val="10"/>
        <color rgb="FF969696"/>
        <rFont val="Garamond"/>
        <family val="1"/>
      </rPr>
      <t xml:space="preserve"> </t>
    </r>
    <r>
      <rPr>
        <sz val="7"/>
        <color rgb="FF969696"/>
        <rFont val="Frutiger LT Arabic 45 Light"/>
        <family val="0"/>
      </rPr>
      <t xml:space="preserve">GACA</t>
    </r>
  </si>
  <si>
    <r>
      <rPr>
        <sz val="7"/>
        <color rgb="FF9BA8C2"/>
        <rFont val="Frutiger LT Arabic 45 Light"/>
        <family val="0"/>
      </rPr>
      <t xml:space="preserve">Freight by ton</t>
    </r>
    <r>
      <rPr>
        <sz val="10"/>
        <rFont val="Frutiger LT Arabic 45 Light"/>
        <family val="0"/>
      </rPr>
      <t xml:space="preserve"> </t>
    </r>
  </si>
  <si>
    <t xml:space="preserve">Back to index</t>
  </si>
  <si>
    <t xml:space="preserve">Air traffic for International Airports in the Kingdom 2021</t>
  </si>
  <si>
    <r>
      <rPr>
        <sz val="8"/>
        <color rgb="FFFFFFFF"/>
        <rFont val="Frutiger LT Arabic 45 Light"/>
        <family val="0"/>
      </rPr>
      <t xml:space="preserve"> </t>
    </r>
    <r>
      <rPr>
        <sz val="10"/>
        <color rgb="FFFFFFFF"/>
        <rFont val="Frutiger LT Arabic 45 Light"/>
        <family val="0"/>
      </rPr>
      <t xml:space="preserve">International Airports</t>
    </r>
  </si>
  <si>
    <t xml:space="preserve">International</t>
  </si>
  <si>
    <t xml:space="preserve">Domestic</t>
  </si>
  <si>
    <r>
      <rPr>
        <sz val="8"/>
        <color rgb="FFFFFFFF"/>
        <rFont val="Frutiger LT Arabic 45 Light"/>
        <family val="0"/>
      </rPr>
      <t xml:space="preserve">Total</t>
    </r>
    <r>
      <rPr>
        <sz val="10"/>
        <rFont val="Frutiger LT Arabic 45 Light"/>
        <family val="0"/>
      </rPr>
      <t xml:space="preserve"> </t>
    </r>
  </si>
  <si>
    <t xml:space="preserve">Flights</t>
  </si>
  <si>
    <t xml:space="preserve">Passengers</t>
  </si>
  <si>
    <r>
      <rPr>
        <sz val="8"/>
        <color rgb="FFFFFFFF"/>
        <rFont val="Frutiger LT Arabic 45 Light"/>
        <family val="0"/>
      </rPr>
      <t xml:space="preserve">Abha International Airport</t>
    </r>
    <r>
      <rPr>
        <sz val="10"/>
        <color rgb="FFFFFFFF"/>
        <rFont val="Frutiger LT Arabic 45 Light"/>
        <family val="0"/>
      </rPr>
      <t xml:space="preserve"> </t>
    </r>
  </si>
  <si>
    <r>
      <rPr>
        <sz val="8"/>
        <color rgb="FFFFFFFF"/>
        <rFont val="Frutiger LT Arabic 45 Light"/>
        <family val="0"/>
      </rPr>
      <t xml:space="preserve">Prince Nayef Bin Abdulaziz International Airport - Al Qassim</t>
    </r>
    <r>
      <rPr>
        <sz val="10"/>
        <rFont val="Frutiger LT Arabic 45 Light"/>
        <family val="0"/>
      </rPr>
      <t xml:space="preserve"> </t>
    </r>
  </si>
  <si>
    <r>
      <rPr>
        <sz val="8"/>
        <color rgb="FFFFFFFF"/>
        <rFont val="Frutiger LT Arabic 45 Light"/>
        <family val="0"/>
      </rPr>
      <t xml:space="preserve">Hail International Airport</t>
    </r>
    <r>
      <rPr>
        <sz val="10"/>
        <rFont val="Frutiger LT Arabic 45 Light"/>
        <family val="0"/>
      </rPr>
      <t xml:space="preserve"> </t>
    </r>
  </si>
  <si>
    <t xml:space="preserve">Al-Ahsa Airport</t>
  </si>
  <si>
    <t xml:space="preserve">King Khalid International Airport</t>
  </si>
  <si>
    <r>
      <rPr>
        <sz val="8"/>
        <color rgb="FFFFFFFF"/>
        <rFont val="Frutiger LT Arabic 45 Light"/>
        <family val="0"/>
      </rPr>
      <t xml:space="preserve">Prince Sultan Bin Abdulaziz International Airport - Tabuk</t>
    </r>
    <r>
      <rPr>
        <sz val="10"/>
        <rFont val="Frutiger LT Arabic 45 Light"/>
        <family val="0"/>
      </rPr>
      <t xml:space="preserve"> </t>
    </r>
  </si>
  <si>
    <r>
      <rPr>
        <sz val="8"/>
        <color rgb="FFFFFFFF"/>
        <rFont val="Frutiger LT Arabic 45 Light"/>
        <family val="0"/>
      </rPr>
      <t xml:space="preserve">Prince Abdul Mohsin Bin Abdulaziz international Airport</t>
    </r>
    <r>
      <rPr>
        <sz val="10"/>
        <rFont val="Frutiger LT Arabic 45 Light"/>
        <family val="0"/>
      </rPr>
      <t xml:space="preserve"> </t>
    </r>
  </si>
  <si>
    <t xml:space="preserve">Air traffic for International Airports in the Kingdom 2020</t>
  </si>
  <si>
    <r>
      <rPr>
        <sz val="8"/>
        <color rgb="FFFFFFFF"/>
        <rFont val="Frutiger LT Arabic 45 Light"/>
        <family val="0"/>
      </rPr>
      <t xml:space="preserve"> </t>
    </r>
    <r>
      <rPr>
        <sz val="10"/>
        <color rgb="FFFFFFFF"/>
        <rFont val="Garamond"/>
        <family val="1"/>
      </rPr>
      <t xml:space="preserve">International Airports</t>
    </r>
  </si>
  <si>
    <r>
      <rPr>
        <sz val="8"/>
        <color rgb="FFFFFFFF"/>
        <rFont val="Frutiger LT Arabic 45 Light"/>
        <family val="0"/>
      </rPr>
      <t xml:space="preserve">Total</t>
    </r>
    <r>
      <rPr>
        <sz val="10"/>
        <rFont val="Garamond"/>
        <family val="1"/>
      </rPr>
      <t xml:space="preserve"> </t>
    </r>
  </si>
  <si>
    <r>
      <rPr>
        <sz val="8"/>
        <color rgb="FFFFFFFF"/>
        <rFont val="Frutiger LT Arabic 45 Light"/>
        <family val="0"/>
      </rPr>
      <t xml:space="preserve">Abha International Airport</t>
    </r>
    <r>
      <rPr>
        <sz val="10"/>
        <rFont val="Garamond"/>
        <family val="1"/>
      </rPr>
      <t xml:space="preserve"> </t>
    </r>
  </si>
  <si>
    <r>
      <rPr>
        <sz val="8"/>
        <color rgb="FFFFFFFF"/>
        <rFont val="Frutiger LT Arabic 45 Light"/>
        <family val="0"/>
      </rPr>
      <t xml:space="preserve">Prince Nayef Bin Abdulaziz International Airport - Al Qassim</t>
    </r>
    <r>
      <rPr>
        <sz val="10"/>
        <rFont val="Garamond"/>
        <family val="1"/>
      </rPr>
      <t xml:space="preserve"> </t>
    </r>
  </si>
  <si>
    <r>
      <rPr>
        <sz val="8"/>
        <color rgb="FFFFFFFF"/>
        <rFont val="Frutiger LT Arabic 45 Light"/>
        <family val="0"/>
      </rPr>
      <t xml:space="preserve">Hail International Airport</t>
    </r>
    <r>
      <rPr>
        <sz val="10"/>
        <rFont val="Garamond"/>
        <family val="1"/>
      </rPr>
      <t xml:space="preserve"> </t>
    </r>
  </si>
  <si>
    <r>
      <rPr>
        <sz val="8"/>
        <color rgb="FFFFFFFF"/>
        <rFont val="Frutiger LT Arabic 45 Light"/>
        <family val="0"/>
      </rPr>
      <t xml:space="preserve">Prince Sultan Bin Abdulaziz International Airport - Tabuk</t>
    </r>
    <r>
      <rPr>
        <sz val="10"/>
        <rFont val="Garamond"/>
        <family val="1"/>
      </rPr>
      <t xml:space="preserve"> </t>
    </r>
  </si>
  <si>
    <r>
      <rPr>
        <sz val="8"/>
        <color rgb="FFFFFFFF"/>
        <rFont val="Frutiger LT Arabic 45 Light"/>
        <family val="0"/>
      </rPr>
      <t xml:space="preserve">Prince Abdul Mohsin Bin Abdulaziz international Airport</t>
    </r>
    <r>
      <rPr>
        <sz val="10"/>
        <rFont val="Garamond"/>
        <family val="1"/>
      </rPr>
      <t xml:space="preserve"> </t>
    </r>
  </si>
  <si>
    <t xml:space="preserve">Source: GACA</t>
  </si>
  <si>
    <r>
      <rPr>
        <sz val="8"/>
        <color rgb="FFFFFFFF"/>
        <rFont val="Frutiger LT Arabic 45 Light"/>
        <family val="0"/>
      </rPr>
      <t xml:space="preserve">International Airports</t>
    </r>
    <r>
      <rPr>
        <sz val="10"/>
        <rFont val="Frutiger LT Arabic 45 Light"/>
        <family val="0"/>
      </rPr>
      <t xml:space="preserve"> </t>
    </r>
  </si>
  <si>
    <r>
      <rPr>
        <sz val="8"/>
        <color rgb="FFFFFFFF"/>
        <rFont val="Frutiger LT Arabic 45 Light"/>
        <family val="0"/>
      </rPr>
      <t xml:space="preserve">Abha International Airport</t>
    </r>
    <r>
      <rPr>
        <sz val="10"/>
        <rFont val="Frutiger LT Arabic 45 Light"/>
        <family val="0"/>
      </rPr>
      <t xml:space="preserve"> </t>
    </r>
  </si>
  <si>
    <r>
      <rPr>
        <sz val="8"/>
        <color rgb="FFFFFFFF"/>
        <rFont val="Frutiger LT Arabic 45 Light"/>
        <family val="0"/>
      </rPr>
      <t xml:space="preserve">Domestic Airports</t>
    </r>
    <r>
      <rPr>
        <sz val="10"/>
        <color rgb="FFFFFFFF"/>
        <rFont val="Frutiger LT Arabic 45 Light"/>
        <family val="0"/>
      </rPr>
      <t xml:space="preserve"> </t>
    </r>
  </si>
  <si>
    <r>
      <rPr>
        <sz val="8"/>
        <color rgb="FFFFFFFF"/>
        <rFont val="Frutiger LT Arabic 45 Light"/>
        <family val="0"/>
      </rPr>
      <t xml:space="preserve"> </t>
    </r>
    <r>
      <rPr>
        <sz val="10"/>
        <color rgb="FFFFFFFF"/>
        <rFont val="Frutiger LT Arabic 45 Light"/>
        <family val="0"/>
      </rPr>
      <t xml:space="preserve">Flights</t>
    </r>
  </si>
  <si>
    <r>
      <rPr>
        <sz val="8"/>
        <color rgb="FFFFFFFF"/>
        <rFont val="Frutiger LT Arabic 45 Light"/>
        <family val="0"/>
      </rPr>
      <t xml:space="preserve"> </t>
    </r>
    <r>
      <rPr>
        <sz val="10"/>
        <color rgb="FFFFFFFF"/>
        <rFont val="Frutiger LT Arabic 45 Light"/>
        <family val="0"/>
      </rPr>
      <t xml:space="preserve">Passengers</t>
    </r>
  </si>
  <si>
    <r>
      <rPr>
        <sz val="8"/>
        <color rgb="FFFFFFFF"/>
        <rFont val="Frutiger LT Arabic 45 Light"/>
        <family val="0"/>
      </rPr>
      <t xml:space="preserve">Al Qaisumah Airport</t>
    </r>
    <r>
      <rPr>
        <sz val="10"/>
        <color rgb="FFFFFFFF"/>
        <rFont val="Frutiger LT Arabic 45 Light"/>
        <family val="0"/>
      </rPr>
      <t xml:space="preserve"> </t>
    </r>
  </si>
  <si>
    <r>
      <rPr>
        <sz val="8"/>
        <color rgb="FFFFFFFF"/>
        <rFont val="Frutiger LT Arabic 45 Light"/>
        <family val="0"/>
      </rPr>
      <t xml:space="preserve">Dawadmi Domestic Airport</t>
    </r>
    <r>
      <rPr>
        <sz val="10"/>
        <color rgb="FFFFFFFF"/>
        <rFont val="Frutiger LT Arabic 45 Light"/>
        <family val="0"/>
      </rPr>
      <t xml:space="preserve"> </t>
    </r>
  </si>
  <si>
    <t xml:space="preserve">Najran Regional Airport</t>
  </si>
  <si>
    <r>
      <rPr>
        <sz val="8"/>
        <color rgb="FFFFFFFF"/>
        <rFont val="Frutiger LT Arabic 45 Light"/>
        <family val="0"/>
      </rPr>
      <t xml:space="preserve"> </t>
    </r>
    <r>
      <rPr>
        <sz val="10"/>
        <color rgb="FFFFFFFF"/>
        <rFont val="Frutiger LT Arabic 45 Light"/>
        <family val="0"/>
      </rPr>
      <t xml:space="preserve">Al Wajh Domestic Airport</t>
    </r>
  </si>
  <si>
    <r>
      <rPr>
        <sz val="8"/>
        <color rgb="FFFFFFFF"/>
        <rFont val="Frutiger LT Arabic 45 Light"/>
        <family val="0"/>
      </rPr>
      <t xml:space="preserve">Neom Bay Airport</t>
    </r>
    <r>
      <rPr>
        <sz val="10"/>
        <color rgb="FFFFFFFF"/>
        <rFont val="Frutiger LT Arabic 45 Light"/>
        <family val="0"/>
      </rPr>
      <t xml:space="preserve"> </t>
    </r>
  </si>
  <si>
    <r>
      <rPr>
        <sz val="8"/>
        <color rgb="FFFFFFFF"/>
        <rFont val="Frutiger LT Arabic 45 Light"/>
        <family val="0"/>
      </rPr>
      <t xml:space="preserve">Arar Domestic Airport</t>
    </r>
    <r>
      <rPr>
        <sz val="10"/>
        <color rgb="FFFFFFFF"/>
        <rFont val="Frutiger LT Arabic 45 Light"/>
        <family val="0"/>
      </rPr>
      <t xml:space="preserve"> </t>
    </r>
  </si>
  <si>
    <t xml:space="preserve">Rafha Domestic Airport</t>
  </si>
  <si>
    <r>
      <rPr>
        <sz val="8"/>
        <color rgb="FFFFFFFF"/>
        <rFont val="Frutiger LT Arabic 45 Light"/>
        <family val="0"/>
      </rPr>
      <t xml:space="preserve">Sharurah Domestic Airport</t>
    </r>
    <r>
      <rPr>
        <sz val="10"/>
        <color rgb="FFFFFFFF"/>
        <rFont val="Frutiger LT Arabic 45 Light"/>
        <family val="0"/>
      </rPr>
      <t xml:space="preserve"> </t>
    </r>
  </si>
  <si>
    <r>
      <rPr>
        <sz val="8"/>
        <color rgb="FFFFFFFF"/>
        <rFont val="Frutiger LT Arabic 45 Light"/>
        <family val="0"/>
      </rPr>
      <t xml:space="preserve">Wadi Al Dawasir Airport</t>
    </r>
    <r>
      <rPr>
        <sz val="10"/>
        <rFont val="Frutiger LT Arabic 45 Light"/>
        <family val="0"/>
      </rPr>
      <t xml:space="preserve"> </t>
    </r>
  </si>
  <si>
    <t xml:space="preserve">Rabigh Domestic Airport</t>
  </si>
  <si>
    <t xml:space="preserve">Air traffic in the Kingdom’s Airports by Operator 2021</t>
  </si>
  <si>
    <t xml:space="preserve">Airports</t>
  </si>
  <si>
    <t xml:space="preserve">Saudi Arabian Airlines</t>
  </si>
  <si>
    <t xml:space="preserve">Flynas</t>
  </si>
  <si>
    <r>
      <rPr>
        <sz val="8"/>
        <color rgb="FFFFFFFF"/>
        <rFont val="Frutiger LT Arabic 45 Light"/>
        <family val="0"/>
      </rPr>
      <t xml:space="preserve">Nesma Airlines</t>
    </r>
    <r>
      <rPr>
        <sz val="10"/>
        <rFont val="Frutiger LT Arabic 45 Light"/>
        <family val="0"/>
      </rPr>
      <t xml:space="preserve"> </t>
    </r>
  </si>
  <si>
    <t xml:space="preserve">SaudiGulf Airlines</t>
  </si>
  <si>
    <t xml:space="preserve">Flyadeal</t>
  </si>
  <si>
    <r>
      <rPr>
        <sz val="8"/>
        <color rgb="FFFFFFFF"/>
        <rFont val="Frutiger LT Arabic 45 Light"/>
        <family val="0"/>
      </rPr>
      <t xml:space="preserve">Al Jouf Airport</t>
    </r>
    <r>
      <rPr>
        <sz val="10"/>
        <rFont val="Frutiger LT Arabic 45 Light"/>
        <family val="0"/>
      </rPr>
      <t xml:space="preserve"> </t>
    </r>
  </si>
  <si>
    <t xml:space="preserve">Al Qaisumah Airport</t>
  </si>
  <si>
    <r>
      <rPr>
        <sz val="8"/>
        <color rgb="FFFFFFFF"/>
        <rFont val="Frutiger LT Arabic 45 Light"/>
        <family val="0"/>
      </rPr>
      <t xml:space="preserve">King Fahd International Airport</t>
    </r>
    <r>
      <rPr>
        <sz val="10"/>
        <color rgb="FFFFFFFF"/>
        <rFont val="Frutiger LT Arabic 45 Light"/>
        <family val="0"/>
      </rPr>
      <t xml:space="preserve"> </t>
    </r>
  </si>
  <si>
    <r>
      <rPr>
        <sz val="8"/>
        <color rgb="FFFFFFFF"/>
        <rFont val="Frutiger LT Arabic 45 Light"/>
        <family val="0"/>
      </rPr>
      <t xml:space="preserve">Najran Regional Airport</t>
    </r>
    <r>
      <rPr>
        <sz val="10"/>
        <color rgb="FFFFFFFF"/>
        <rFont val="Frutiger LT Arabic 45 Light"/>
        <family val="0"/>
      </rPr>
      <t xml:space="preserve"> </t>
    </r>
  </si>
  <si>
    <t xml:space="preserve">Hail International Airport</t>
  </si>
  <si>
    <r>
      <rPr>
        <sz val="8"/>
        <color rgb="FFFFFFFF"/>
        <rFont val="Frutiger LT Arabic 45 Light"/>
        <family val="0"/>
      </rPr>
      <t xml:space="preserve">Al-Ahsa Airport</t>
    </r>
    <r>
      <rPr>
        <sz val="10"/>
        <rFont val="Frutiger LT Arabic 45 Light"/>
        <family val="0"/>
      </rPr>
      <t xml:space="preserve"> </t>
    </r>
  </si>
  <si>
    <r>
      <rPr>
        <sz val="8"/>
        <color rgb="FFFFFFFF"/>
        <rFont val="Frutiger LT Arabic 45 Light"/>
        <family val="0"/>
      </rPr>
      <t xml:space="preserve">Neom Bay Airport</t>
    </r>
    <r>
      <rPr>
        <sz val="10"/>
        <rFont val="Frutiger LT Arabic 45 Light"/>
        <family val="0"/>
      </rPr>
      <t xml:space="preserve"> </t>
    </r>
  </si>
  <si>
    <r>
      <rPr>
        <sz val="8"/>
        <color rgb="FFFFFFFF"/>
        <rFont val="Frutiger LT Arabic 45 Light"/>
        <family val="0"/>
      </rPr>
      <t xml:space="preserve">Arar Domestic Airport</t>
    </r>
    <r>
      <rPr>
        <sz val="10"/>
        <rFont val="Frutiger LT Arabic 45 Light"/>
        <family val="0"/>
      </rPr>
      <t xml:space="preserve"> </t>
    </r>
  </si>
  <si>
    <r>
      <rPr>
        <sz val="8"/>
        <color rgb="FFFFFFFF"/>
        <rFont val="Frutiger LT Arabic 45 Light"/>
        <family val="0"/>
      </rPr>
      <t xml:space="preserve">Rafha Domestic Airport</t>
    </r>
    <r>
      <rPr>
        <sz val="10"/>
        <rFont val="Frutiger LT Arabic 45 Light"/>
        <family val="0"/>
      </rPr>
      <t xml:space="preserve"> </t>
    </r>
  </si>
  <si>
    <r>
      <rPr>
        <sz val="8"/>
        <color rgb="FFFFFFFF"/>
        <rFont val="Frutiger LT Arabic 45 Light"/>
        <family val="0"/>
      </rPr>
      <t xml:space="preserve">King Khalid International Airport</t>
    </r>
    <r>
      <rPr>
        <sz val="10"/>
        <rFont val="Frutiger LT Arabic 45 Light"/>
        <family val="0"/>
      </rPr>
      <t xml:space="preserve"> </t>
    </r>
  </si>
  <si>
    <r>
      <rPr>
        <sz val="8"/>
        <color rgb="FFFFFFFF"/>
        <rFont val="Frutiger LT Arabic 45 Light"/>
        <family val="0"/>
      </rPr>
      <t xml:space="preserve">Turaif Domestic Airpor</t>
    </r>
    <r>
      <rPr>
        <sz val="10"/>
        <rFont val="Frutiger LT Arabic 45 Light"/>
        <family val="0"/>
      </rPr>
      <t xml:space="preserve"> </t>
    </r>
  </si>
  <si>
    <t xml:space="preserve">Prince Sultan Bin Abdulaziz International Airport - Tabuk</t>
  </si>
  <si>
    <r>
      <rPr>
        <sz val="8"/>
        <color rgb="FFFFFFFF"/>
        <rFont val="Frutiger LT Arabic 45 Light"/>
        <family val="0"/>
      </rPr>
      <t xml:space="preserve">Prince Abdul Majeed bin Abdulaziz Domestic Airport</t>
    </r>
    <r>
      <rPr>
        <sz val="10"/>
        <rFont val="Frutiger LT Arabic 45 Light"/>
        <family val="0"/>
      </rPr>
      <t xml:space="preserve"> </t>
    </r>
  </si>
  <si>
    <t xml:space="preserve">Total</t>
  </si>
  <si>
    <t xml:space="preserve">Air traffic in the Kingdom’s Airports by Operator 2020</t>
  </si>
  <si>
    <r>
      <rPr>
        <sz val="8"/>
        <color rgb="FFFFFFFF"/>
        <rFont val="Frutiger LT Arabic 45 Light"/>
        <family val="0"/>
      </rPr>
      <t xml:space="preserve">Al Jouf Airport</t>
    </r>
    <r>
      <rPr>
        <sz val="10"/>
        <color rgb="FFFFFFFF"/>
        <rFont val="Frutiger LT Arabic 45 Light"/>
        <family val="0"/>
      </rPr>
      <t xml:space="preserve"> </t>
    </r>
  </si>
  <si>
    <t xml:space="preserve">السنوات</t>
  </si>
  <si>
    <r>
      <rPr>
        <sz val="8"/>
        <color rgb="FFFFFFFF"/>
        <rFont val="Frutiger LT Arabic 45 Light"/>
        <family val="0"/>
      </rPr>
      <t xml:space="preserve">Al Qaisumah Airport</t>
    </r>
    <r>
      <rPr>
        <sz val="10"/>
        <rFont val="Frutiger LT Arabic 45 Light"/>
        <family val="0"/>
      </rPr>
      <t xml:space="preserve"> </t>
    </r>
  </si>
  <si>
    <r>
      <rPr>
        <sz val="8"/>
        <color rgb="FFFFFFFF"/>
        <rFont val="Frutiger LT Arabic 45 Light"/>
        <family val="0"/>
      </rPr>
      <t xml:space="preserve">Hail International Airport</t>
    </r>
    <r>
      <rPr>
        <sz val="10"/>
        <color rgb="FFFFFFFF"/>
        <rFont val="Frutiger LT Arabic 45 Light"/>
        <family val="0"/>
      </rPr>
      <t xml:space="preserve"> </t>
    </r>
  </si>
  <si>
    <r>
      <rPr>
        <sz val="8"/>
        <color rgb="FFFFFFFF"/>
        <rFont val="Frutiger LT Arabic 45 Light"/>
        <family val="0"/>
      </rPr>
      <t xml:space="preserve">Foreign airlines</t>
    </r>
    <r>
      <rPr>
        <sz val="10"/>
        <rFont val="Frutiger LT Arabic 45 Light"/>
        <family val="0"/>
      </rPr>
      <t xml:space="preserve"> </t>
    </r>
  </si>
  <si>
    <t xml:space="preserve">Destination</t>
  </si>
  <si>
    <t xml:space="preserve">Number</t>
  </si>
  <si>
    <t xml:space="preserve">Egypt</t>
  </si>
  <si>
    <t xml:space="preserve">UAE</t>
  </si>
  <si>
    <t xml:space="preserve">Pakistan</t>
  </si>
  <si>
    <t xml:space="preserve">Bangladesh</t>
  </si>
  <si>
    <t xml:space="preserve">India</t>
  </si>
  <si>
    <t xml:space="preserve">Sudan</t>
  </si>
  <si>
    <t xml:space="preserve">Qatar</t>
  </si>
  <si>
    <r>
      <rPr>
        <sz val="8"/>
        <color rgb="FFFFFFFF"/>
        <rFont val="Frutiger LT Arabic 45 Light"/>
        <family val="0"/>
      </rPr>
      <t xml:space="preserve">Kuwait</t>
    </r>
    <r>
      <rPr>
        <sz val="10"/>
        <rFont val="Garamond"/>
        <family val="1"/>
      </rPr>
      <t xml:space="preserve"> </t>
    </r>
  </si>
  <si>
    <t xml:space="preserve">Jordan</t>
  </si>
  <si>
    <t xml:space="preserve">Bahrain</t>
  </si>
  <si>
    <r>
      <rPr>
        <sz val="7"/>
        <color rgb="FF969696"/>
        <rFont val="Frutiger LT Arabic 45 Light"/>
        <family val="0"/>
      </rPr>
      <t xml:space="preserve">Source:</t>
    </r>
    <r>
      <rPr>
        <sz val="10"/>
        <color rgb="FF969696"/>
        <rFont val="Frutiger LT Arabic 45 Light"/>
        <family val="0"/>
      </rPr>
      <t xml:space="preserve"> </t>
    </r>
    <r>
      <rPr>
        <sz val="7"/>
        <color rgb="FF969696"/>
        <rFont val="Frutiger LT Arabic 45 Light"/>
        <family val="0"/>
      </rPr>
      <t xml:space="preserve">GACA</t>
    </r>
  </si>
  <si>
    <t xml:space="preserve">Kuwait</t>
  </si>
  <si>
    <t xml:space="preserve">Oman</t>
  </si>
  <si>
    <r>
      <rPr>
        <b val="true"/>
        <sz val="12"/>
        <color rgb="FF364C75"/>
        <rFont val="Frutiger LT Arabic 45 Light"/>
        <family val="0"/>
      </rPr>
      <t xml:space="preserve">Top 10 International Departing Destinations by Number of Flights from the Kingdom's Airports in 2021</t>
    </r>
    <r>
      <rPr>
        <sz val="10"/>
        <rFont val="Garamond"/>
        <family val="1"/>
      </rPr>
      <t xml:space="preserve"> </t>
    </r>
  </si>
  <si>
    <r>
      <rPr>
        <b val="true"/>
        <sz val="12"/>
        <color rgb="FF364C75"/>
        <rFont val="Frutiger LT Arabic 45 Light"/>
        <family val="0"/>
      </rPr>
      <t xml:space="preserve">Top 10 International Arrival Destinations by Number of Flights from the Kingdom's Airports in 2021</t>
    </r>
    <r>
      <rPr>
        <sz val="10"/>
        <rFont val="Garamond"/>
        <family val="1"/>
      </rPr>
      <t xml:space="preserve"> </t>
    </r>
  </si>
  <si>
    <t xml:space="preserve">Netherlands</t>
  </si>
  <si>
    <t xml:space="preserve">Belgium</t>
  </si>
  <si>
    <t xml:space="preserve">Kenya</t>
  </si>
  <si>
    <t xml:space="preserve">Germany</t>
  </si>
  <si>
    <t xml:space="preserve">Ethiopia</t>
  </si>
  <si>
    <t xml:space="preserve">United kingdom</t>
  </si>
  <si>
    <t xml:space="preserve">Malaysia</t>
  </si>
  <si>
    <t xml:space="preserve">United States of America</t>
  </si>
  <si>
    <r>
      <rPr>
        <b val="true"/>
        <sz val="12"/>
        <color rgb="FF364C75"/>
        <rFont val="Frutiger LT Arabic 45 Light"/>
        <family val="0"/>
      </rPr>
      <t xml:space="preserve">Top Ten International Destinations Arriving at the Kingdom’s Airports by Fright Volume 2021</t>
    </r>
    <r>
      <rPr>
        <sz val="10"/>
        <rFont val="Frutiger LT Arabic 45 Light"/>
        <family val="0"/>
      </rPr>
      <t xml:space="preserve"> </t>
    </r>
  </si>
  <si>
    <t xml:space="preserve">Hong Kong</t>
  </si>
  <si>
    <t xml:space="preserve">Luxembourg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</si>
</sst>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* #,##0.00_);_(* \(#,##0.00\);_(* \-??_);_(@_)"/>
    <numFmt numFmtId="166" formatCode="_-* #,##0.00\ _ر_._س_._‏_-;\-* #,##0.00\ _ر_._س_._‏_-;_-* \-??\ _ر_._س_._‏_-;_-@_-"/>
    <numFmt numFmtId="167" formatCode="#,##0;[RED]#,##0"/>
    <numFmt numFmtId="168" formatCode="#,##0.00;[RED]#,##0.00"/>
    <numFmt numFmtId="169" formatCode="0.00"/>
    <numFmt numFmtId="170" formatCode="0"/>
    <numFmt numFmtId="171" formatCode="#,##0.00"/>
  </numFmts>
  <fonts count="5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8"/>
      <name val="Arial"/>
      <family val="2"/>
    </font>
    <font>
      <sz val="14"/>
      <color rgb="FF000000"/>
      <name val="Frutiger LT Arabic 45 Light"/>
      <family val="0"/>
    </font>
    <font>
      <sz val="14"/>
      <color rgb="FF000000"/>
      <name val="Garamond"/>
      <family val="1"/>
    </font>
    <font>
      <sz val="12"/>
      <color rgb="FF000000"/>
      <name val="Garamond"/>
      <family val="1"/>
    </font>
    <font>
      <sz val="10"/>
      <name val="Frutiger LT Arabic 45 Light"/>
      <family val="0"/>
    </font>
    <font>
      <sz val="10"/>
      <color rgb="FF000000"/>
      <name val="Garamond"/>
      <family val="1"/>
    </font>
    <font>
      <sz val="8"/>
      <color rgb="FF000000"/>
      <name val="Garamond"/>
      <family val="1"/>
    </font>
    <font>
      <sz val="10"/>
      <name val="Garamond"/>
      <family val="1"/>
    </font>
    <font>
      <b val="true"/>
      <sz val="11"/>
      <color rgb="FF364C75"/>
      <name val="Frutiger LT Arabic 55 Roman"/>
      <family val="0"/>
    </font>
    <font>
      <sz val="10"/>
      <name val="Frutiger LT 55 Roman"/>
      <family val="0"/>
    </font>
    <font>
      <b val="true"/>
      <sz val="11"/>
      <color rgb="FF364C75"/>
      <name val="Frutiger LT Arabic 45 Light"/>
      <family val="0"/>
    </font>
    <font>
      <u val="single"/>
      <sz val="14"/>
      <color rgb="FF000000"/>
      <name val="Garamond"/>
      <family val="1"/>
    </font>
    <font>
      <sz val="11"/>
      <color rgb="FF364C75"/>
      <name val="Frutiger LT Arabic 55 Roman"/>
      <family val="0"/>
    </font>
    <font>
      <sz val="11"/>
      <color rgb="FF000000"/>
      <name val="Frutiger LT Arabic 45 Light"/>
      <family val="0"/>
    </font>
    <font>
      <sz val="10"/>
      <color rgb="FF33CCCC"/>
      <name val="Frutiger LT Arabic 45 Light"/>
      <family val="0"/>
    </font>
    <font>
      <sz val="10"/>
      <color rgb="FF33CCCC"/>
      <name val="Garamond"/>
      <family val="1"/>
    </font>
    <font>
      <sz val="8"/>
      <color rgb="FF33CCCC"/>
      <name val="Garamond"/>
      <family val="1"/>
    </font>
    <font>
      <b val="true"/>
      <sz val="12"/>
      <color rgb="FF364C75"/>
      <name val="Frutiger LT Arabic 45 Light"/>
      <family val="0"/>
    </font>
    <font>
      <sz val="10"/>
      <color rgb="FF9BA8C2"/>
      <name val="Garamond"/>
      <family val="1"/>
    </font>
    <font>
      <sz val="8"/>
      <color rgb="FFFFFFFF"/>
      <name val="Frutiger LT Arabic 55 Roman"/>
      <family val="0"/>
    </font>
    <font>
      <sz val="8"/>
      <color rgb="FFFFFFFF"/>
      <name val="Frutiger LT Arabic 45 Light"/>
      <family val="0"/>
    </font>
    <font>
      <sz val="10"/>
      <color rgb="FFFFFFFF"/>
      <name val="Garamond"/>
      <family val="1"/>
    </font>
    <font>
      <sz val="8"/>
      <color rgb="FF000000"/>
      <name val="Frutiger LT Arabic 45 Light"/>
      <family val="0"/>
    </font>
    <font>
      <sz val="8"/>
      <color rgb="FFFFFFFF"/>
      <name val="Garamond"/>
      <family val="1"/>
    </font>
    <font>
      <sz val="10"/>
      <color rgb="FFFFFFFF"/>
      <name val="Frutiger LT Arabic 45 Light"/>
      <family val="0"/>
    </font>
    <font>
      <sz val="7"/>
      <color rgb="FF969696"/>
      <name val="Frutiger LT Arabic 45 Light"/>
      <family val="0"/>
    </font>
    <font>
      <sz val="10"/>
      <color rgb="FF969696"/>
      <name val="Garamond"/>
      <family val="1"/>
    </font>
    <font>
      <sz val="13"/>
      <color rgb="FFFF0000"/>
      <name val="Garamond"/>
      <family val="1"/>
    </font>
    <font>
      <sz val="13"/>
      <name val="Garamond"/>
      <family val="1"/>
    </font>
    <font>
      <sz val="13"/>
      <color rgb="FF9BA8C2"/>
      <name val="Garamond"/>
      <family val="1"/>
    </font>
    <font>
      <sz val="8"/>
      <color rgb="FF9BA8C2"/>
      <name val="Garamond"/>
      <family val="1"/>
    </font>
    <font>
      <sz val="7"/>
      <color rgb="FF9BA8C2"/>
      <name val="Frutiger LT Arabic 45 Light"/>
      <family val="0"/>
    </font>
    <font>
      <u val="single"/>
      <sz val="10"/>
      <color rgb="FF0066CC"/>
      <name val="Frutiger LT Arabic 45 Light"/>
      <family val="0"/>
    </font>
    <font>
      <u val="single"/>
      <sz val="10"/>
      <color rgb="FF0066CC"/>
      <name val="Arial"/>
      <family val="2"/>
    </font>
    <font>
      <sz val="8"/>
      <color rgb="FF33CCCC"/>
      <name val="Frutiger LT Arabic 45 Light"/>
      <family val="0"/>
    </font>
    <font>
      <sz val="10"/>
      <color rgb="FF0000FF"/>
      <name val="Garamond"/>
      <family val="1"/>
    </font>
    <font>
      <sz val="10"/>
      <color rgb="FF000000"/>
      <name val="Frutiger LT Arabic 45 Light"/>
      <family val="0"/>
    </font>
    <font>
      <sz val="8"/>
      <color rgb="FF9BA8C2"/>
      <name val="Frutiger LT Arabic 45 Light"/>
      <family val="0"/>
    </font>
    <font>
      <sz val="9"/>
      <color rgb="FF9BA8C2"/>
      <name val="Frutiger LT Arabic 45 Light"/>
      <family val="0"/>
    </font>
    <font>
      <sz val="13"/>
      <color rgb="FFFF0000"/>
      <name val="Frutiger LT Arabic 45 Light"/>
      <family val="0"/>
    </font>
    <font>
      <sz val="13"/>
      <name val="Frutiger LT Arabic 45 Light"/>
      <family val="0"/>
    </font>
    <font>
      <b val="true"/>
      <sz val="16"/>
      <color rgb="FF5C78B0"/>
      <name val="Garamond"/>
      <family val="1"/>
    </font>
    <font>
      <sz val="10"/>
      <color rgb="FF9BA8C2"/>
      <name val="Frutiger LT Arabic 45 Light"/>
      <family val="0"/>
    </font>
    <font>
      <b val="true"/>
      <sz val="14"/>
      <color rgb="FF5C78B0"/>
      <name val="Frutiger LT Arabic 45 Light"/>
      <family val="0"/>
    </font>
    <font>
      <sz val="8"/>
      <color rgb="FFFFFFFF"/>
      <name val="Arial"/>
      <family val="0"/>
    </font>
    <font>
      <u val="single"/>
      <sz val="9"/>
      <color rgb="FF0066CC"/>
      <name val="Garamond"/>
      <family val="1"/>
    </font>
    <font>
      <sz val="10"/>
      <color rgb="FF969696"/>
      <name val="Frutiger LT Arabic 45 Light"/>
      <family val="0"/>
    </font>
    <font>
      <u val="single"/>
      <sz val="10"/>
      <color rgb="FF0066CC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0F2F6"/>
      </patternFill>
    </fill>
    <fill>
      <patternFill patternType="solid">
        <fgColor rgb="FF9BA8C2"/>
        <bgColor rgb="FF969696"/>
      </patternFill>
    </fill>
    <fill>
      <patternFill patternType="solid">
        <fgColor rgb="FFF0F2F6"/>
        <bgColor rgb="FFFFFF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/>
      <right/>
      <top style="thin">
        <color rgb="FFFFFFFF"/>
      </top>
      <bottom/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/>
      <right style="thin">
        <color rgb="FFFFFFFF"/>
      </right>
      <top/>
      <bottom style="thin">
        <color rgb="FFFFFFFF"/>
      </bottom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39" fillId="0" borderId="0" applyFont="true" applyBorder="false" applyAlignment="false" applyProtection="false"/>
    <xf numFmtId="165" fontId="0" fillId="0" borderId="0" applyFont="true" applyBorder="false" applyAlignment="false" applyProtection="false"/>
    <xf numFmtId="166" fontId="4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0" fillId="0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3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0" xfId="3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3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3" xfId="27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27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3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6" fillId="3" borderId="4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26" fillId="3" borderId="5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25" fillId="3" borderId="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7" fontId="28" fillId="2" borderId="4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28" fillId="4" borderId="4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9" fillId="3" borderId="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7" fontId="29" fillId="3" borderId="6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8" fontId="29" fillId="3" borderId="6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8" fontId="29" fillId="3" borderId="7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3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0" xfId="27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0" borderId="0" xfId="27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0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27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6" fillId="0" borderId="8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3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8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6" fillId="3" borderId="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6" fillId="3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9" fontId="26" fillId="3" borderId="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6" fillId="3" borderId="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7" fontId="25" fillId="3" borderId="7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41" fillId="0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3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2" fillId="2" borderId="0" xfId="3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8" fillId="2" borderId="0" xfId="3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3" fillId="0" borderId="0" xfId="25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4" fillId="0" borderId="0" xfId="2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3" fillId="0" borderId="0" xfId="2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6" fillId="3" borderId="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28" fillId="2" borderId="4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8" fontId="28" fillId="4" borderId="4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8" fontId="26" fillId="3" borderId="7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45" fillId="0" borderId="0" xfId="27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6" fillId="0" borderId="0" xfId="27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3" fillId="0" borderId="8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8" fillId="0" borderId="3" xfId="27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3" borderId="1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9" fontId="28" fillId="2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9" fontId="28" fillId="4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6" fillId="3" borderId="1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7" fontId="26" fillId="3" borderId="6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26" fillId="3" borderId="7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43" fillId="0" borderId="8" xfId="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0" borderId="8" xfId="28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6" fillId="0" borderId="0" xfId="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3" borderId="1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0" fontId="50" fillId="3" borderId="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0" fontId="26" fillId="3" borderId="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0" fontId="26" fillId="3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8" fillId="2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1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1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1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6" fillId="3" borderId="6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26" fillId="3" borderId="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7" fontId="26" fillId="3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0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8" fontId="25" fillId="3" borderId="6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36" fillId="0" borderId="8" xfId="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3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1"/>
    <cellStyle name="Comma 3" xfId="22"/>
    <cellStyle name="Normal 10" xfId="23"/>
    <cellStyle name="Normal 2" xfId="24"/>
    <cellStyle name="Normal 2 2" xfId="25"/>
    <cellStyle name="Normal 2 4" xfId="26"/>
    <cellStyle name="Normal 3" xfId="27"/>
    <cellStyle name="Normal 4" xfId="28"/>
    <cellStyle name="Normal 4 2" xfId="29"/>
    <cellStyle name="عادي 2" xfId="30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BA8C2"/>
      <rgbColor rgb="FF993366"/>
      <rgbColor rgb="FFF0F2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78B0"/>
      <rgbColor rgb="FF969696"/>
      <rgbColor rgb="FF003366"/>
      <rgbColor rgb="FF339966"/>
      <rgbColor rgb="FF003300"/>
      <rgbColor rgb="FF333300"/>
      <rgbColor rgb="FF993300"/>
      <rgbColor rgb="FF993366"/>
      <rgbColor rgb="FF364C7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39240</xdr:colOff>
      <xdr:row>0</xdr:row>
      <xdr:rowOff>0</xdr:rowOff>
    </xdr:from>
    <xdr:to>
      <xdr:col>1</xdr:col>
      <xdr:colOff>610560</xdr:colOff>
      <xdr:row>1</xdr:row>
      <xdr:rowOff>76320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39240" y="0"/>
          <a:ext cx="1831320" cy="371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132840</xdr:colOff>
      <xdr:row>0</xdr:row>
      <xdr:rowOff>160560</xdr:rowOff>
    </xdr:from>
    <xdr:to>
      <xdr:col>1</xdr:col>
      <xdr:colOff>1522440</xdr:colOff>
      <xdr:row>2</xdr:row>
      <xdr:rowOff>144720</xdr:rowOff>
    </xdr:to>
    <xdr:pic>
      <xdr:nvPicPr>
        <xdr:cNvPr id="2" name="image4.png"/>
        <xdr:cNvPicPr/>
      </xdr:nvPicPr>
      <xdr:blipFill>
        <a:blip r:embed="rId1"/>
        <a:stretch/>
      </xdr:blipFill>
      <xdr:spPr>
        <a:xfrm>
          <a:off x="132840" y="160560"/>
          <a:ext cx="2031120" cy="517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70200</xdr:colOff>
      <xdr:row>0</xdr:row>
      <xdr:rowOff>30240</xdr:rowOff>
    </xdr:from>
    <xdr:to>
      <xdr:col>1</xdr:col>
      <xdr:colOff>1433160</xdr:colOff>
      <xdr:row>2</xdr:row>
      <xdr:rowOff>15480</xdr:rowOff>
    </xdr:to>
    <xdr:pic>
      <xdr:nvPicPr>
        <xdr:cNvPr id="3" name="image4.png"/>
        <xdr:cNvPicPr/>
      </xdr:nvPicPr>
      <xdr:blipFill>
        <a:blip r:embed="rId1"/>
        <a:stretch/>
      </xdr:blipFill>
      <xdr:spPr>
        <a:xfrm>
          <a:off x="70200" y="30240"/>
          <a:ext cx="2004480" cy="518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70200</xdr:colOff>
      <xdr:row>0</xdr:row>
      <xdr:rowOff>91800</xdr:rowOff>
    </xdr:from>
    <xdr:to>
      <xdr:col>1</xdr:col>
      <xdr:colOff>1433160</xdr:colOff>
      <xdr:row>2</xdr:row>
      <xdr:rowOff>83160</xdr:rowOff>
    </xdr:to>
    <xdr:pic>
      <xdr:nvPicPr>
        <xdr:cNvPr id="4" name="image4.png"/>
        <xdr:cNvPicPr/>
      </xdr:nvPicPr>
      <xdr:blipFill>
        <a:blip r:embed="rId1"/>
        <a:stretch/>
      </xdr:blipFill>
      <xdr:spPr>
        <a:xfrm>
          <a:off x="70200" y="91800"/>
          <a:ext cx="2004480" cy="524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70200</xdr:colOff>
      <xdr:row>0</xdr:row>
      <xdr:rowOff>91800</xdr:rowOff>
    </xdr:from>
    <xdr:to>
      <xdr:col>1</xdr:col>
      <xdr:colOff>1433160</xdr:colOff>
      <xdr:row>2</xdr:row>
      <xdr:rowOff>83160</xdr:rowOff>
    </xdr:to>
    <xdr:pic>
      <xdr:nvPicPr>
        <xdr:cNvPr id="5" name="image4.png"/>
        <xdr:cNvPicPr/>
      </xdr:nvPicPr>
      <xdr:blipFill>
        <a:blip r:embed="rId1"/>
        <a:stretch/>
      </xdr:blipFill>
      <xdr:spPr>
        <a:xfrm>
          <a:off x="70200" y="91800"/>
          <a:ext cx="2004480" cy="524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117000</xdr:colOff>
      <xdr:row>0</xdr:row>
      <xdr:rowOff>137520</xdr:rowOff>
    </xdr:from>
    <xdr:to>
      <xdr:col>1</xdr:col>
      <xdr:colOff>1497240</xdr:colOff>
      <xdr:row>2</xdr:row>
      <xdr:rowOff>121680</xdr:rowOff>
    </xdr:to>
    <xdr:pic>
      <xdr:nvPicPr>
        <xdr:cNvPr id="6" name="image4.png"/>
        <xdr:cNvPicPr/>
      </xdr:nvPicPr>
      <xdr:blipFill>
        <a:blip r:embed="rId1"/>
        <a:stretch/>
      </xdr:blipFill>
      <xdr:spPr>
        <a:xfrm>
          <a:off x="117000" y="137520"/>
          <a:ext cx="2021760" cy="517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164160</xdr:colOff>
      <xdr:row>0</xdr:row>
      <xdr:rowOff>83520</xdr:rowOff>
    </xdr:from>
    <xdr:to>
      <xdr:col>1</xdr:col>
      <xdr:colOff>1530720</xdr:colOff>
      <xdr:row>2</xdr:row>
      <xdr:rowOff>67680</xdr:rowOff>
    </xdr:to>
    <xdr:pic>
      <xdr:nvPicPr>
        <xdr:cNvPr id="7" name="image4.png"/>
        <xdr:cNvPicPr/>
      </xdr:nvPicPr>
      <xdr:blipFill>
        <a:blip r:embed="rId1"/>
        <a:stretch/>
      </xdr:blipFill>
      <xdr:spPr>
        <a:xfrm>
          <a:off x="164160" y="83520"/>
          <a:ext cx="2008080" cy="517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164160</xdr:colOff>
      <xdr:row>0</xdr:row>
      <xdr:rowOff>83520</xdr:rowOff>
    </xdr:from>
    <xdr:to>
      <xdr:col>1</xdr:col>
      <xdr:colOff>1530720</xdr:colOff>
      <xdr:row>2</xdr:row>
      <xdr:rowOff>67680</xdr:rowOff>
    </xdr:to>
    <xdr:pic>
      <xdr:nvPicPr>
        <xdr:cNvPr id="8" name="image4.png"/>
        <xdr:cNvPicPr/>
      </xdr:nvPicPr>
      <xdr:blipFill>
        <a:blip r:embed="rId1"/>
        <a:stretch/>
      </xdr:blipFill>
      <xdr:spPr>
        <a:xfrm>
          <a:off x="164160" y="83520"/>
          <a:ext cx="2008080" cy="517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164160</xdr:colOff>
      <xdr:row>0</xdr:row>
      <xdr:rowOff>83520</xdr:rowOff>
    </xdr:from>
    <xdr:to>
      <xdr:col>1</xdr:col>
      <xdr:colOff>1530720</xdr:colOff>
      <xdr:row>2</xdr:row>
      <xdr:rowOff>67680</xdr:rowOff>
    </xdr:to>
    <xdr:pic>
      <xdr:nvPicPr>
        <xdr:cNvPr id="9" name="image4.png"/>
        <xdr:cNvPicPr/>
      </xdr:nvPicPr>
      <xdr:blipFill>
        <a:blip r:embed="rId1"/>
        <a:stretch/>
      </xdr:blipFill>
      <xdr:spPr>
        <a:xfrm>
          <a:off x="164160" y="83520"/>
          <a:ext cx="2008080" cy="517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164160</xdr:colOff>
      <xdr:row>0</xdr:row>
      <xdr:rowOff>83520</xdr:rowOff>
    </xdr:from>
    <xdr:to>
      <xdr:col>1</xdr:col>
      <xdr:colOff>1544760</xdr:colOff>
      <xdr:row>2</xdr:row>
      <xdr:rowOff>67680</xdr:rowOff>
    </xdr:to>
    <xdr:pic>
      <xdr:nvPicPr>
        <xdr:cNvPr id="10" name="image4.png"/>
        <xdr:cNvPicPr/>
      </xdr:nvPicPr>
      <xdr:blipFill>
        <a:blip r:embed="rId1"/>
        <a:stretch/>
      </xdr:blipFill>
      <xdr:spPr>
        <a:xfrm>
          <a:off x="164160" y="83520"/>
          <a:ext cx="2022120" cy="517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61560</xdr:rowOff>
    </xdr:from>
    <xdr:to>
      <xdr:col>1</xdr:col>
      <xdr:colOff>1379160</xdr:colOff>
      <xdr:row>2</xdr:row>
      <xdr:rowOff>38520</xdr:rowOff>
    </xdr:to>
    <xdr:pic>
      <xdr:nvPicPr>
        <xdr:cNvPr id="11" name="image4.png"/>
        <xdr:cNvPicPr/>
      </xdr:nvPicPr>
      <xdr:blipFill>
        <a:blip r:embed="rId1"/>
        <a:stretch/>
      </xdr:blipFill>
      <xdr:spPr>
        <a:xfrm>
          <a:off x="0" y="61560"/>
          <a:ext cx="2020680" cy="510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61560</xdr:rowOff>
    </xdr:from>
    <xdr:to>
      <xdr:col>1</xdr:col>
      <xdr:colOff>1379160</xdr:colOff>
      <xdr:row>2</xdr:row>
      <xdr:rowOff>38520</xdr:rowOff>
    </xdr:to>
    <xdr:pic>
      <xdr:nvPicPr>
        <xdr:cNvPr id="12" name="image4.png"/>
        <xdr:cNvPicPr/>
      </xdr:nvPicPr>
      <xdr:blipFill>
        <a:blip r:embed="rId1"/>
        <a:stretch/>
      </xdr:blipFill>
      <xdr:spPr>
        <a:xfrm>
          <a:off x="0" y="61560"/>
          <a:ext cx="2020680" cy="510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61560</xdr:rowOff>
    </xdr:from>
    <xdr:to>
      <xdr:col>1</xdr:col>
      <xdr:colOff>1379160</xdr:colOff>
      <xdr:row>2</xdr:row>
      <xdr:rowOff>38520</xdr:rowOff>
    </xdr:to>
    <xdr:pic>
      <xdr:nvPicPr>
        <xdr:cNvPr id="13" name="image4.png"/>
        <xdr:cNvPicPr/>
      </xdr:nvPicPr>
      <xdr:blipFill>
        <a:blip r:embed="rId1"/>
        <a:stretch/>
      </xdr:blipFill>
      <xdr:spPr>
        <a:xfrm>
          <a:off x="0" y="61560"/>
          <a:ext cx="2020680" cy="510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61560</xdr:rowOff>
    </xdr:from>
    <xdr:to>
      <xdr:col>1</xdr:col>
      <xdr:colOff>1379160</xdr:colOff>
      <xdr:row>2</xdr:row>
      <xdr:rowOff>38520</xdr:rowOff>
    </xdr:to>
    <xdr:pic>
      <xdr:nvPicPr>
        <xdr:cNvPr id="14" name="image4.png"/>
        <xdr:cNvPicPr/>
      </xdr:nvPicPr>
      <xdr:blipFill>
        <a:blip r:embed="rId1"/>
        <a:stretch/>
      </xdr:blipFill>
      <xdr:spPr>
        <a:xfrm>
          <a:off x="0" y="61560"/>
          <a:ext cx="2020680" cy="510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61560</xdr:rowOff>
    </xdr:from>
    <xdr:to>
      <xdr:col>1</xdr:col>
      <xdr:colOff>1379160</xdr:colOff>
      <xdr:row>2</xdr:row>
      <xdr:rowOff>38520</xdr:rowOff>
    </xdr:to>
    <xdr:pic>
      <xdr:nvPicPr>
        <xdr:cNvPr id="15" name="image4.png"/>
        <xdr:cNvPicPr/>
      </xdr:nvPicPr>
      <xdr:blipFill>
        <a:blip r:embed="rId1"/>
        <a:stretch/>
      </xdr:blipFill>
      <xdr:spPr>
        <a:xfrm>
          <a:off x="0" y="61560"/>
          <a:ext cx="2020680" cy="510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93960</xdr:colOff>
      <xdr:row>0</xdr:row>
      <xdr:rowOff>61560</xdr:rowOff>
    </xdr:from>
    <xdr:to>
      <xdr:col>1</xdr:col>
      <xdr:colOff>1238400</xdr:colOff>
      <xdr:row>1</xdr:row>
      <xdr:rowOff>243720</xdr:rowOff>
    </xdr:to>
    <xdr:pic>
      <xdr:nvPicPr>
        <xdr:cNvPr id="16" name="image4.png"/>
        <xdr:cNvPicPr/>
      </xdr:nvPicPr>
      <xdr:blipFill>
        <a:blip r:embed="rId1"/>
        <a:stretch/>
      </xdr:blipFill>
      <xdr:spPr>
        <a:xfrm>
          <a:off x="93960" y="61560"/>
          <a:ext cx="1785960" cy="448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8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B5" activeCellId="0" sqref="B5"/>
    </sheetView>
  </sheetViews>
  <sheetFormatPr defaultColWidth="8.66015625" defaultRowHeight="25.2" customHeight="false" zeroHeight="false" outlineLevelRow="0" outlineLevelCol="0"/>
  <cols>
    <col collapsed="false" customWidth="true" hidden="false" outlineLevel="0" max="1" min="1" style="1" width="17.88"/>
    <col collapsed="false" customWidth="true" hidden="false" outlineLevel="0" max="2" min="2" style="2" width="9.99"/>
    <col collapsed="false" customWidth="true" hidden="false" outlineLevel="0" max="3" min="3" style="3" width="113.43"/>
    <col collapsed="false" customWidth="false" hidden="false" outlineLevel="0" max="257" min="4" style="2" width="8.66"/>
  </cols>
  <sheetData>
    <row r="1" customFormat="false" ht="23.25" hidden="false" customHeight="true" outlineLevel="0" collapsed="false"/>
    <row r="2" customFormat="false" ht="23.25" hidden="false" customHeight="true" outlineLevel="0" collapsed="false">
      <c r="A2" s="4"/>
      <c r="B2" s="5"/>
      <c r="C2" s="6"/>
      <c r="D2" s="5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</row>
    <row r="3" customFormat="false" ht="23.25" hidden="false" customHeight="true" outlineLevel="0" collapsed="false">
      <c r="A3" s="8" t="s">
        <v>0</v>
      </c>
      <c r="B3" s="9" t="s">
        <v>1</v>
      </c>
      <c r="C3" s="9"/>
      <c r="D3" s="9"/>
      <c r="E3" s="9"/>
      <c r="F3" s="9"/>
      <c r="I3" s="10"/>
    </row>
    <row r="4" customFormat="false" ht="23.25" hidden="false" customHeight="true" outlineLevel="0" collapsed="false">
      <c r="A4" s="11" t="n">
        <v>1</v>
      </c>
      <c r="B4" s="12" t="s">
        <v>2</v>
      </c>
      <c r="C4" s="12"/>
      <c r="D4" s="12"/>
      <c r="E4" s="12"/>
      <c r="F4" s="12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</row>
    <row r="5" customFormat="false" ht="23.25" hidden="false" customHeight="true" outlineLevel="0" collapsed="false">
      <c r="A5" s="14" t="n">
        <v>2</v>
      </c>
      <c r="B5" s="15" t="s">
        <v>3</v>
      </c>
      <c r="C5" s="15"/>
      <c r="D5" s="15"/>
      <c r="E5" s="15"/>
      <c r="F5" s="15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</row>
    <row r="6" customFormat="false" ht="23.25" hidden="false" customHeight="true" outlineLevel="0" collapsed="false">
      <c r="A6" s="11" t="n">
        <v>3</v>
      </c>
      <c r="B6" s="12" t="s">
        <v>4</v>
      </c>
      <c r="C6" s="12"/>
      <c r="D6" s="12"/>
      <c r="E6" s="12"/>
      <c r="F6" s="12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</row>
    <row r="7" customFormat="false" ht="23.25" hidden="false" customHeight="true" outlineLevel="0" collapsed="false">
      <c r="A7" s="14" t="n">
        <v>4</v>
      </c>
      <c r="B7" s="15" t="s">
        <v>5</v>
      </c>
      <c r="C7" s="15"/>
      <c r="D7" s="15"/>
      <c r="E7" s="15"/>
      <c r="F7" s="15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</row>
    <row r="8" customFormat="false" ht="23.25" hidden="false" customHeight="true" outlineLevel="0" collapsed="false">
      <c r="A8" s="11" t="n">
        <v>5</v>
      </c>
      <c r="B8" s="12" t="s">
        <v>6</v>
      </c>
      <c r="C8" s="12"/>
      <c r="D8" s="12"/>
      <c r="E8" s="12"/>
      <c r="F8" s="12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</row>
    <row r="9" customFormat="false" ht="23.25" hidden="false" customHeight="true" outlineLevel="0" collapsed="false">
      <c r="A9" s="14" t="n">
        <v>6</v>
      </c>
      <c r="B9" s="15" t="s">
        <v>7</v>
      </c>
      <c r="C9" s="15"/>
      <c r="D9" s="15"/>
      <c r="E9" s="15"/>
      <c r="F9" s="15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</row>
    <row r="10" customFormat="false" ht="23.25" hidden="false" customHeight="true" outlineLevel="0" collapsed="false">
      <c r="A10" s="11" t="n">
        <v>7</v>
      </c>
      <c r="B10" s="12" t="s">
        <v>8</v>
      </c>
      <c r="C10" s="12"/>
      <c r="D10" s="12"/>
      <c r="E10" s="12"/>
      <c r="F10" s="12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</row>
    <row r="11" customFormat="false" ht="23.25" hidden="false" customHeight="true" outlineLevel="0" collapsed="false">
      <c r="A11" s="14" t="n">
        <v>8</v>
      </c>
      <c r="B11" s="15" t="s">
        <v>9</v>
      </c>
      <c r="C11" s="15"/>
      <c r="D11" s="15"/>
      <c r="E11" s="15"/>
      <c r="F11" s="15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</row>
    <row r="12" customFormat="false" ht="23.25" hidden="false" customHeight="true" outlineLevel="0" collapsed="false">
      <c r="A12" s="11" t="n">
        <v>9</v>
      </c>
      <c r="B12" s="12" t="s">
        <v>10</v>
      </c>
      <c r="C12" s="12"/>
      <c r="D12" s="12"/>
      <c r="E12" s="12"/>
      <c r="F12" s="12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</row>
    <row r="13" customFormat="false" ht="23.25" hidden="false" customHeight="true" outlineLevel="0" collapsed="false">
      <c r="A13" s="11" t="n">
        <v>10</v>
      </c>
      <c r="B13" s="12" t="s">
        <v>11</v>
      </c>
      <c r="C13" s="12"/>
      <c r="D13" s="12"/>
      <c r="E13" s="12"/>
      <c r="F13" s="12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13"/>
      <c r="IR13" s="13"/>
      <c r="IS13" s="13"/>
      <c r="IT13" s="13"/>
      <c r="IU13" s="13"/>
      <c r="IV13" s="13"/>
      <c r="IW13" s="13"/>
    </row>
    <row r="14" customFormat="false" ht="23.25" hidden="false" customHeight="true" outlineLevel="0" collapsed="false">
      <c r="A14" s="14" t="n">
        <v>11</v>
      </c>
      <c r="B14" s="15" t="s">
        <v>12</v>
      </c>
      <c r="C14" s="15"/>
      <c r="D14" s="15"/>
      <c r="E14" s="15"/>
      <c r="F14" s="15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  <c r="IQ14" s="13"/>
      <c r="IR14" s="13"/>
      <c r="IS14" s="13"/>
      <c r="IT14" s="13"/>
      <c r="IU14" s="13"/>
      <c r="IV14" s="13"/>
      <c r="IW14" s="13"/>
    </row>
    <row r="15" customFormat="false" ht="23.25" hidden="false" customHeight="true" outlineLevel="0" collapsed="false">
      <c r="A15" s="11" t="n">
        <v>12</v>
      </c>
      <c r="B15" s="12" t="s">
        <v>13</v>
      </c>
      <c r="C15" s="12"/>
      <c r="D15" s="12"/>
      <c r="E15" s="12"/>
      <c r="F15" s="12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  <c r="IF15" s="13"/>
      <c r="IG15" s="13"/>
      <c r="IH15" s="13"/>
      <c r="II15" s="13"/>
      <c r="IJ15" s="13"/>
      <c r="IK15" s="13"/>
      <c r="IL15" s="13"/>
      <c r="IM15" s="13"/>
      <c r="IN15" s="13"/>
      <c r="IO15" s="13"/>
      <c r="IP15" s="13"/>
      <c r="IQ15" s="13"/>
      <c r="IR15" s="13"/>
      <c r="IS15" s="13"/>
      <c r="IT15" s="13"/>
      <c r="IU15" s="13"/>
      <c r="IV15" s="13"/>
      <c r="IW15" s="13"/>
    </row>
    <row r="16" customFormat="false" ht="23.25" hidden="false" customHeight="true" outlineLevel="0" collapsed="false">
      <c r="A16" s="14" t="n">
        <v>13</v>
      </c>
      <c r="B16" s="15" t="s">
        <v>14</v>
      </c>
      <c r="C16" s="15"/>
      <c r="D16" s="15"/>
      <c r="E16" s="15"/>
      <c r="F16" s="15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13"/>
      <c r="IK16" s="13"/>
      <c r="IL16" s="13"/>
      <c r="IM16" s="13"/>
      <c r="IN16" s="13"/>
      <c r="IO16" s="13"/>
      <c r="IP16" s="13"/>
      <c r="IQ16" s="13"/>
      <c r="IR16" s="13"/>
      <c r="IS16" s="13"/>
      <c r="IT16" s="13"/>
      <c r="IU16" s="13"/>
      <c r="IV16" s="13"/>
      <c r="IW16" s="13"/>
    </row>
    <row r="17" customFormat="false" ht="23.25" hidden="false" customHeight="true" outlineLevel="0" collapsed="false">
      <c r="A17" s="11" t="n">
        <v>14</v>
      </c>
      <c r="B17" s="12" t="s">
        <v>15</v>
      </c>
      <c r="C17" s="12"/>
      <c r="D17" s="12"/>
      <c r="E17" s="12"/>
      <c r="F17" s="12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  <c r="IF17" s="13"/>
      <c r="IG17" s="13"/>
      <c r="IH17" s="13"/>
      <c r="II17" s="13"/>
      <c r="IJ17" s="13"/>
      <c r="IK17" s="13"/>
      <c r="IL17" s="13"/>
      <c r="IM17" s="13"/>
      <c r="IN17" s="13"/>
      <c r="IO17" s="13"/>
      <c r="IP17" s="13"/>
      <c r="IQ17" s="13"/>
      <c r="IR17" s="13"/>
      <c r="IS17" s="13"/>
      <c r="IT17" s="13"/>
      <c r="IU17" s="13"/>
      <c r="IV17" s="13"/>
      <c r="IW17" s="13"/>
    </row>
    <row r="18" customFormat="false" ht="23.25" hidden="false" customHeight="true" outlineLevel="0" collapsed="false">
      <c r="A18" s="14" t="n">
        <v>15</v>
      </c>
      <c r="B18" s="15" t="s">
        <v>16</v>
      </c>
      <c r="C18" s="15"/>
      <c r="D18" s="15"/>
      <c r="E18" s="15"/>
      <c r="F18" s="15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3"/>
      <c r="IL18" s="13"/>
      <c r="IM18" s="13"/>
      <c r="IN18" s="13"/>
      <c r="IO18" s="13"/>
      <c r="IP18" s="13"/>
      <c r="IQ18" s="13"/>
      <c r="IR18" s="13"/>
      <c r="IS18" s="13"/>
      <c r="IT18" s="13"/>
      <c r="IU18" s="13"/>
      <c r="IV18" s="13"/>
      <c r="IW18" s="13"/>
    </row>
  </sheetData>
  <mergeCells count="16"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</mergeCells>
  <hyperlinks>
    <hyperlink ref="B4" location="1!A1" display="Air traffic by Carrier 2020-2021"/>
    <hyperlink ref="B5" location="2!A1" display="Air traffic for International Airports in the Kingdom 2020-2021"/>
    <hyperlink ref="B6" location="3!A1" display="Air traffic of International Airports in the Kingdom by Freight Volume 2020-2021  "/>
    <hyperlink ref="B7" location="4!A1" display="Air traffic at the Kingdom’s Domestic Airports 2020-2021"/>
    <hyperlink ref="B8" location="5!A1" display="Air traffic in the Kingdom’s Airports by Operator 2020-2021"/>
    <hyperlink ref="B9" location="6!A1" display="Number of Flights in the Kingdom’s Airports by Airport 2010-2021"/>
    <hyperlink ref="B10" location="7!A1" display="Number of Passengers in the Kingdom’s Airports by Airport 2010-2021"/>
    <hyperlink ref="B11" location="8!A1" display="Freight Volume at the Kingdom's International Airports by Airport 2010-2021"/>
    <hyperlink ref="B12" location="9!A1" display="Number of Flights in the Kingdom’s Airports by Operator 2010-2021"/>
    <hyperlink ref="B13" location="10!A1" display="Top 10 International Departing Destinations by Number of Passengers from the Kingdom's Airports in 2021"/>
    <hyperlink ref="B14" location="11!A1" display="Top 10 International Arrival Destinations by Number of Passengers from the Kingdom's Airports in 2021"/>
    <hyperlink ref="B15" location="12!A1" display="Top 10 International Departing Destinations by Number of Flights from the Kingdom's Airports in 2021 "/>
    <hyperlink ref="B16" location="13!A1" display="Top 10 International Arrival Destinations by Number of Flights from the Kingdom's Airports in 2021 "/>
    <hyperlink ref="B17" location="14!A1" display="Top 10 International Departing Destinations by Shipment from the Kingdom's Airports in 2021"/>
    <hyperlink ref="B18" location="15!A1" display="Top Ten International Destinations Arriving at the Kingdom’s Airports by Fright Volume 2021 "/>
  </hyperlinks>
  <printOptions headings="true" gridLines="false" gridLinesSet="true" horizontalCentered="false" verticalCentered="false"/>
  <pageMargins left="0.7" right="0.7" top="0.75" bottom="0.75" header="0.511811023622047" footer="0.511811023622047"/>
  <pageSetup paperSize="9" scale="1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8"/>
  <sheetViews>
    <sheetView showFormulas="false" showGridLines="false" showRowColHeaders="true" showZeros="true" rightToLeft="false" tabSelected="false" showOutlineSymbols="true" defaultGridColor="true" view="pageBreakPreview" topLeftCell="E1" colorId="64" zoomScale="82" zoomScaleNormal="100" zoomScalePageLayoutView="82" workbookViewId="0">
      <selection pane="topLeft" activeCell="P1" activeCellId="0" sqref="P1"/>
    </sheetView>
  </sheetViews>
  <sheetFormatPr defaultColWidth="9.1015625" defaultRowHeight="13.2" customHeight="false" zeroHeight="false" outlineLevelRow="0" outlineLevelCol="0"/>
  <cols>
    <col collapsed="false" customWidth="false" hidden="false" outlineLevel="0" max="1" min="1" style="7" width="9.1"/>
    <col collapsed="false" customWidth="true" hidden="false" outlineLevel="0" max="2" min="2" style="16" width="40.66"/>
    <col collapsed="false" customWidth="true" hidden="false" outlineLevel="0" max="18" min="3" style="7" width="18.66"/>
    <col collapsed="false" customWidth="true" hidden="false" outlineLevel="0" max="19" min="19" style="7" width="0.33"/>
    <col collapsed="false" customWidth="false" hidden="true" outlineLevel="0" max="21" min="20" style="7" width="9.1"/>
    <col collapsed="false" customWidth="false" hidden="false" outlineLevel="0" max="257" min="22" style="7" width="9.1"/>
  </cols>
  <sheetData>
    <row r="1" customFormat="false" ht="21" hidden="false" customHeight="true" outlineLevel="0" collapsed="false">
      <c r="P1" s="17" t="s">
        <v>17</v>
      </c>
      <c r="Q1" s="17"/>
      <c r="R1" s="17"/>
    </row>
    <row r="2" customFormat="false" ht="21" hidden="false" customHeight="true" outlineLevel="0" collapsed="false"/>
    <row r="3" customFormat="false" ht="21" hidden="false" customHeight="true" outlineLevel="0" collapsed="false">
      <c r="B3" s="18"/>
      <c r="C3" s="18"/>
      <c r="D3" s="5"/>
      <c r="E3" s="6"/>
      <c r="F3" s="6"/>
      <c r="G3" s="5"/>
      <c r="H3" s="5"/>
      <c r="I3" s="5"/>
      <c r="J3" s="5"/>
      <c r="K3" s="5"/>
      <c r="L3" s="5"/>
      <c r="M3" s="5"/>
      <c r="N3" s="5"/>
      <c r="O3" s="5"/>
      <c r="P3" s="19"/>
      <c r="Q3" s="19"/>
      <c r="R3" s="19"/>
    </row>
    <row r="4" customFormat="false" ht="54.75" hidden="false" customHeight="true" outlineLevel="0" collapsed="false">
      <c r="B4" s="20" t="s">
        <v>18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customFormat="false" ht="21" hidden="false" customHeight="true" outlineLevel="0" collapsed="false">
      <c r="B5" s="21"/>
      <c r="C5" s="21"/>
      <c r="D5" s="21"/>
      <c r="E5" s="21"/>
      <c r="F5" s="22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22"/>
    </row>
    <row r="6" customFormat="false" ht="21" hidden="false" customHeight="true" outlineLevel="0" collapsed="false">
      <c r="A6" s="23" t="s">
        <v>19</v>
      </c>
      <c r="B6" s="24" t="s">
        <v>20</v>
      </c>
      <c r="C6" s="24" t="s">
        <v>21</v>
      </c>
      <c r="D6" s="24"/>
      <c r="E6" s="24"/>
      <c r="F6" s="24"/>
      <c r="G6" s="24"/>
      <c r="H6" s="24"/>
      <c r="I6" s="24"/>
      <c r="J6" s="24"/>
      <c r="K6" s="24" t="s">
        <v>22</v>
      </c>
      <c r="L6" s="24"/>
      <c r="M6" s="24"/>
      <c r="N6" s="24"/>
      <c r="O6" s="24"/>
      <c r="P6" s="24"/>
      <c r="Q6" s="24"/>
      <c r="R6" s="24"/>
    </row>
    <row r="7" customFormat="false" ht="21" hidden="false" customHeight="true" outlineLevel="0" collapsed="false">
      <c r="A7" s="23"/>
      <c r="B7" s="24"/>
      <c r="C7" s="24" t="s">
        <v>23</v>
      </c>
      <c r="D7" s="25" t="s">
        <v>24</v>
      </c>
      <c r="E7" s="25"/>
      <c r="F7" s="25"/>
      <c r="G7" s="24" t="s">
        <v>23</v>
      </c>
      <c r="H7" s="24" t="s">
        <v>25</v>
      </c>
      <c r="I7" s="24"/>
      <c r="J7" s="24"/>
      <c r="K7" s="24" t="s">
        <v>26</v>
      </c>
      <c r="L7" s="24" t="s">
        <v>27</v>
      </c>
      <c r="M7" s="24"/>
      <c r="N7" s="24"/>
      <c r="O7" s="24" t="s">
        <v>23</v>
      </c>
      <c r="P7" s="24" t="s">
        <v>28</v>
      </c>
      <c r="Q7" s="24"/>
      <c r="R7" s="24"/>
    </row>
    <row r="8" customFormat="false" ht="21" hidden="false" customHeight="true" outlineLevel="0" collapsed="false">
      <c r="A8" s="23"/>
      <c r="B8" s="24"/>
      <c r="C8" s="24"/>
      <c r="D8" s="25" t="s">
        <v>29</v>
      </c>
      <c r="E8" s="24" t="s">
        <v>30</v>
      </c>
      <c r="F8" s="24" t="s">
        <v>31</v>
      </c>
      <c r="G8" s="24"/>
      <c r="H8" s="24" t="s">
        <v>29</v>
      </c>
      <c r="I8" s="24" t="s">
        <v>32</v>
      </c>
      <c r="J8" s="24" t="s">
        <v>31</v>
      </c>
      <c r="K8" s="24"/>
      <c r="L8" s="24" t="s">
        <v>29</v>
      </c>
      <c r="M8" s="24" t="s">
        <v>32</v>
      </c>
      <c r="N8" s="24" t="s">
        <v>31</v>
      </c>
      <c r="O8" s="24"/>
      <c r="P8" s="24" t="s">
        <v>29</v>
      </c>
      <c r="Q8" s="24" t="s">
        <v>32</v>
      </c>
      <c r="R8" s="24" t="s">
        <v>31</v>
      </c>
    </row>
    <row r="9" customFormat="false" ht="21" hidden="false" customHeight="true" outlineLevel="0" collapsed="false">
      <c r="A9" s="23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</row>
    <row r="10" customFormat="false" ht="21" hidden="false" customHeight="true" outlineLevel="0" collapsed="false">
      <c r="A10" s="23"/>
      <c r="B10" s="24"/>
      <c r="C10" s="24"/>
      <c r="D10" s="25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</row>
    <row r="11" customFormat="false" ht="21" hidden="false" customHeight="true" outlineLevel="0" collapsed="false">
      <c r="A11" s="26" t="n">
        <v>1</v>
      </c>
      <c r="B11" s="26" t="s">
        <v>33</v>
      </c>
      <c r="C11" s="27" t="n">
        <v>1520</v>
      </c>
      <c r="D11" s="27" t="n">
        <v>132654</v>
      </c>
      <c r="E11" s="27" t="n">
        <v>0</v>
      </c>
      <c r="F11" s="27" t="n">
        <v>0</v>
      </c>
      <c r="G11" s="27" t="n">
        <v>1520</v>
      </c>
      <c r="H11" s="27" t="n">
        <v>139407</v>
      </c>
      <c r="I11" s="27" t="n">
        <v>0</v>
      </c>
      <c r="J11" s="27" t="n">
        <v>0</v>
      </c>
      <c r="K11" s="27" t="n">
        <v>19</v>
      </c>
      <c r="L11" s="27" t="n">
        <v>199</v>
      </c>
      <c r="M11" s="27" t="n">
        <v>0</v>
      </c>
      <c r="N11" s="27" t="s">
        <v>34</v>
      </c>
      <c r="O11" s="27" t="n">
        <v>19</v>
      </c>
      <c r="P11" s="27" t="n">
        <v>207</v>
      </c>
      <c r="Q11" s="27" t="n">
        <v>0</v>
      </c>
      <c r="R11" s="27" t="s">
        <v>34</v>
      </c>
    </row>
    <row r="12" customFormat="false" ht="21" hidden="false" customHeight="true" outlineLevel="0" collapsed="false">
      <c r="A12" s="26" t="n">
        <v>2</v>
      </c>
      <c r="B12" s="26" t="s">
        <v>35</v>
      </c>
      <c r="C12" s="28" t="n">
        <v>11930</v>
      </c>
      <c r="D12" s="28" t="n">
        <v>1264676</v>
      </c>
      <c r="E12" s="28" t="n">
        <v>149.89</v>
      </c>
      <c r="F12" s="28" t="n">
        <v>26693</v>
      </c>
      <c r="G12" s="28" t="n">
        <v>11929</v>
      </c>
      <c r="H12" s="28" t="n">
        <v>1300352</v>
      </c>
      <c r="I12" s="28" t="n">
        <v>231.43</v>
      </c>
      <c r="J12" s="28" t="n">
        <v>29245</v>
      </c>
      <c r="K12" s="28" t="n">
        <v>278</v>
      </c>
      <c r="L12" s="28" t="n">
        <v>6674</v>
      </c>
      <c r="M12" s="28" t="n">
        <v>0</v>
      </c>
      <c r="N12" s="28" t="n">
        <v>0</v>
      </c>
      <c r="O12" s="28" t="n">
        <v>278</v>
      </c>
      <c r="P12" s="28" t="n">
        <v>8165</v>
      </c>
      <c r="Q12" s="28" t="n">
        <v>0</v>
      </c>
      <c r="R12" s="28" t="n">
        <v>0</v>
      </c>
    </row>
    <row r="13" customFormat="false" ht="21" hidden="false" customHeight="true" outlineLevel="0" collapsed="false">
      <c r="A13" s="26" t="n">
        <v>3</v>
      </c>
      <c r="B13" s="26" t="s">
        <v>36</v>
      </c>
      <c r="C13" s="27" t="n">
        <v>1882</v>
      </c>
      <c r="D13" s="27" t="n">
        <v>169441</v>
      </c>
      <c r="E13" s="27" t="n">
        <v>0</v>
      </c>
      <c r="F13" s="27" t="n">
        <v>0</v>
      </c>
      <c r="G13" s="27" t="n">
        <v>1885</v>
      </c>
      <c r="H13" s="27" t="n">
        <v>181467</v>
      </c>
      <c r="I13" s="27" t="n">
        <v>0</v>
      </c>
      <c r="J13" s="27" t="n">
        <v>0</v>
      </c>
      <c r="K13" s="27" t="n">
        <v>273</v>
      </c>
      <c r="L13" s="27" t="n">
        <v>17293</v>
      </c>
      <c r="M13" s="27" t="n">
        <v>0</v>
      </c>
      <c r="N13" s="27" t="n">
        <v>0</v>
      </c>
      <c r="O13" s="27" t="n">
        <v>273</v>
      </c>
      <c r="P13" s="27" t="n">
        <v>25255</v>
      </c>
      <c r="Q13" s="27" t="n">
        <v>0</v>
      </c>
      <c r="R13" s="27" t="n">
        <v>0</v>
      </c>
    </row>
    <row r="14" customFormat="false" ht="21" hidden="false" customHeight="true" outlineLevel="0" collapsed="false">
      <c r="A14" s="26" t="n">
        <v>4</v>
      </c>
      <c r="B14" s="26" t="s">
        <v>37</v>
      </c>
      <c r="C14" s="28" t="n">
        <v>1036</v>
      </c>
      <c r="D14" s="28" t="n">
        <v>92820</v>
      </c>
      <c r="E14" s="28" t="n">
        <v>0</v>
      </c>
      <c r="F14" s="28" t="n">
        <v>0</v>
      </c>
      <c r="G14" s="28" t="n">
        <v>1036</v>
      </c>
      <c r="H14" s="28" t="n">
        <v>97203</v>
      </c>
      <c r="I14" s="28" t="n">
        <v>0</v>
      </c>
      <c r="J14" s="28" t="n">
        <v>0</v>
      </c>
      <c r="K14" s="28" t="n">
        <v>189</v>
      </c>
      <c r="L14" s="28" t="n">
        <v>472</v>
      </c>
      <c r="M14" s="28" t="n">
        <v>0</v>
      </c>
      <c r="N14" s="28" t="s">
        <v>34</v>
      </c>
      <c r="O14" s="28" t="n">
        <v>189</v>
      </c>
      <c r="P14" s="28" t="n">
        <v>420</v>
      </c>
      <c r="Q14" s="28" t="n">
        <v>0</v>
      </c>
      <c r="R14" s="28" t="s">
        <v>34</v>
      </c>
    </row>
    <row r="15" customFormat="false" ht="21" hidden="false" customHeight="true" outlineLevel="0" collapsed="false">
      <c r="A15" s="26" t="n">
        <v>5</v>
      </c>
      <c r="B15" s="26" t="s">
        <v>38</v>
      </c>
      <c r="C15" s="27" t="n">
        <v>1635</v>
      </c>
      <c r="D15" s="27" t="n">
        <v>147687</v>
      </c>
      <c r="E15" s="27" t="n">
        <v>0</v>
      </c>
      <c r="F15" s="27" t="n">
        <v>0</v>
      </c>
      <c r="G15" s="27" t="n">
        <v>1636</v>
      </c>
      <c r="H15" s="27" t="n">
        <v>158553</v>
      </c>
      <c r="I15" s="27" t="n">
        <v>0</v>
      </c>
      <c r="J15" s="27" t="n">
        <v>0</v>
      </c>
      <c r="K15" s="27" t="n">
        <v>34</v>
      </c>
      <c r="L15" s="27" t="n">
        <v>463</v>
      </c>
      <c r="M15" s="27" t="n">
        <v>0</v>
      </c>
      <c r="N15" s="27" t="s">
        <v>34</v>
      </c>
      <c r="O15" s="27" t="n">
        <v>32</v>
      </c>
      <c r="P15" s="27" t="n">
        <v>425</v>
      </c>
      <c r="Q15" s="27" t="n">
        <v>0</v>
      </c>
      <c r="R15" s="27" t="s">
        <v>34</v>
      </c>
    </row>
    <row r="16" customFormat="false" ht="21" hidden="false" customHeight="true" outlineLevel="0" collapsed="false">
      <c r="A16" s="26" t="n">
        <v>6</v>
      </c>
      <c r="B16" s="26" t="s">
        <v>39</v>
      </c>
      <c r="C16" s="28" t="n">
        <v>19442</v>
      </c>
      <c r="D16" s="28" t="n">
        <v>1904068</v>
      </c>
      <c r="E16" s="28" t="n">
        <v>4791.67</v>
      </c>
      <c r="F16" s="28" t="n">
        <v>100780</v>
      </c>
      <c r="G16" s="28" t="n">
        <v>19445</v>
      </c>
      <c r="H16" s="28" t="n">
        <v>1885788</v>
      </c>
      <c r="I16" s="28" t="n">
        <v>1641.57</v>
      </c>
      <c r="J16" s="28" t="n">
        <v>129693</v>
      </c>
      <c r="K16" s="28" t="n">
        <v>13542</v>
      </c>
      <c r="L16" s="28" t="n">
        <v>1042613</v>
      </c>
      <c r="M16" s="28" t="n">
        <v>31064.18</v>
      </c>
      <c r="N16" s="28" t="n">
        <v>483422</v>
      </c>
      <c r="O16" s="28" t="n">
        <v>13531</v>
      </c>
      <c r="P16" s="28" t="n">
        <v>1139199</v>
      </c>
      <c r="Q16" s="28" t="n">
        <v>13384.25</v>
      </c>
      <c r="R16" s="28" t="n">
        <v>1063369</v>
      </c>
    </row>
    <row r="17" customFormat="false" ht="21" hidden="false" customHeight="true" outlineLevel="0" collapsed="false">
      <c r="A17" s="26" t="n">
        <v>7</v>
      </c>
      <c r="B17" s="26" t="s">
        <v>40</v>
      </c>
      <c r="C17" s="27" t="n">
        <v>104</v>
      </c>
      <c r="D17" s="27" t="n">
        <v>5936</v>
      </c>
      <c r="E17" s="27" t="n">
        <v>0</v>
      </c>
      <c r="F17" s="27" t="n">
        <v>0</v>
      </c>
      <c r="G17" s="27" t="n">
        <v>104</v>
      </c>
      <c r="H17" s="27" t="n">
        <v>6135</v>
      </c>
      <c r="I17" s="27" t="n">
        <v>0</v>
      </c>
      <c r="J17" s="27" t="n">
        <v>0</v>
      </c>
      <c r="K17" s="27" t="n">
        <v>107</v>
      </c>
      <c r="L17" s="27" t="n">
        <v>0</v>
      </c>
      <c r="M17" s="27" t="n">
        <v>122.4</v>
      </c>
      <c r="N17" s="27" t="s">
        <v>34</v>
      </c>
      <c r="O17" s="27" t="n">
        <v>106</v>
      </c>
      <c r="P17" s="27" t="n">
        <v>1</v>
      </c>
      <c r="Q17" s="27" t="n">
        <v>122.4</v>
      </c>
      <c r="R17" s="27" t="s">
        <v>34</v>
      </c>
    </row>
    <row r="18" customFormat="false" ht="21" hidden="false" customHeight="true" outlineLevel="0" collapsed="false">
      <c r="A18" s="26" t="n">
        <v>8</v>
      </c>
      <c r="B18" s="26" t="s">
        <v>41</v>
      </c>
      <c r="C18" s="28" t="n">
        <v>2720</v>
      </c>
      <c r="D18" s="28" t="n">
        <v>257500</v>
      </c>
      <c r="E18" s="28" t="n">
        <v>0</v>
      </c>
      <c r="F18" s="28" t="n">
        <v>0</v>
      </c>
      <c r="G18" s="28" t="n">
        <v>2720</v>
      </c>
      <c r="H18" s="28" t="n">
        <v>267848</v>
      </c>
      <c r="I18" s="28" t="n">
        <v>0</v>
      </c>
      <c r="J18" s="28" t="n">
        <v>0</v>
      </c>
      <c r="K18" s="28" t="n">
        <v>58</v>
      </c>
      <c r="L18" s="28" t="n">
        <v>2876</v>
      </c>
      <c r="M18" s="28" t="n">
        <v>0</v>
      </c>
      <c r="N18" s="28" t="s">
        <v>34</v>
      </c>
      <c r="O18" s="28" t="n">
        <v>58</v>
      </c>
      <c r="P18" s="28" t="n">
        <v>2691</v>
      </c>
      <c r="Q18" s="28" t="n">
        <v>0</v>
      </c>
      <c r="R18" s="28" t="s">
        <v>34</v>
      </c>
    </row>
    <row r="19" customFormat="false" ht="21" hidden="false" customHeight="true" outlineLevel="0" collapsed="false">
      <c r="A19" s="26" t="n">
        <v>9</v>
      </c>
      <c r="B19" s="26" t="s">
        <v>42</v>
      </c>
      <c r="C19" s="27" t="n">
        <v>318</v>
      </c>
      <c r="D19" s="27" t="n">
        <v>19516</v>
      </c>
      <c r="E19" s="27" t="n">
        <v>0</v>
      </c>
      <c r="F19" s="27" t="n">
        <v>0</v>
      </c>
      <c r="G19" s="27" t="n">
        <v>318</v>
      </c>
      <c r="H19" s="27" t="n">
        <v>20089</v>
      </c>
      <c r="I19" s="27" t="n">
        <v>0</v>
      </c>
      <c r="J19" s="27" t="n">
        <v>0</v>
      </c>
      <c r="K19" s="27" t="n">
        <v>355</v>
      </c>
      <c r="L19" s="27" t="n">
        <v>305</v>
      </c>
      <c r="M19" s="27" t="n">
        <v>0</v>
      </c>
      <c r="N19" s="27" t="s">
        <v>34</v>
      </c>
      <c r="O19" s="27" t="n">
        <v>354</v>
      </c>
      <c r="P19" s="27" t="n">
        <v>437</v>
      </c>
      <c r="Q19" s="27" t="n">
        <v>0</v>
      </c>
      <c r="R19" s="27" t="s">
        <v>34</v>
      </c>
    </row>
    <row r="20" customFormat="false" ht="21" hidden="false" customHeight="true" outlineLevel="0" collapsed="false">
      <c r="A20" s="26" t="n">
        <v>10</v>
      </c>
      <c r="B20" s="26" t="s">
        <v>43</v>
      </c>
      <c r="C20" s="28" t="n">
        <v>2443</v>
      </c>
      <c r="D20" s="28" t="n">
        <v>237417</v>
      </c>
      <c r="E20" s="28" t="n">
        <v>5.62</v>
      </c>
      <c r="F20" s="28" t="n">
        <v>454</v>
      </c>
      <c r="G20" s="28" t="n">
        <v>2443</v>
      </c>
      <c r="H20" s="28" t="n">
        <v>249337</v>
      </c>
      <c r="I20" s="28" t="n">
        <v>2.33</v>
      </c>
      <c r="J20" s="28" t="n">
        <v>474</v>
      </c>
      <c r="K20" s="28" t="n">
        <v>1110</v>
      </c>
      <c r="L20" s="28" t="n">
        <v>48516</v>
      </c>
      <c r="M20" s="28" t="n">
        <v>0.24</v>
      </c>
      <c r="N20" s="28" t="n">
        <v>0</v>
      </c>
      <c r="O20" s="28" t="n">
        <v>1109</v>
      </c>
      <c r="P20" s="28" t="n">
        <v>67174</v>
      </c>
      <c r="Q20" s="28" t="n">
        <v>0</v>
      </c>
      <c r="R20" s="28" t="n">
        <v>0</v>
      </c>
    </row>
    <row r="21" customFormat="false" ht="21" hidden="false" customHeight="true" outlineLevel="0" collapsed="false">
      <c r="A21" s="26" t="n">
        <v>11</v>
      </c>
      <c r="B21" s="26" t="s">
        <v>44</v>
      </c>
      <c r="C21" s="27" t="n">
        <v>9316</v>
      </c>
      <c r="D21" s="27" t="n">
        <v>826975</v>
      </c>
      <c r="E21" s="27" t="n">
        <v>0</v>
      </c>
      <c r="F21" s="27" t="n">
        <v>0</v>
      </c>
      <c r="G21" s="27" t="n">
        <v>9315</v>
      </c>
      <c r="H21" s="27" t="n">
        <v>858616</v>
      </c>
      <c r="I21" s="27" t="n">
        <v>0</v>
      </c>
      <c r="J21" s="27" t="n">
        <v>0</v>
      </c>
      <c r="K21" s="27" t="n">
        <v>562</v>
      </c>
      <c r="L21" s="27" t="n">
        <v>24017</v>
      </c>
      <c r="M21" s="27" t="n">
        <v>0</v>
      </c>
      <c r="N21" s="27" t="n">
        <v>0</v>
      </c>
      <c r="O21" s="27" t="n">
        <v>562</v>
      </c>
      <c r="P21" s="27" t="n">
        <v>24379</v>
      </c>
      <c r="Q21" s="27" t="n">
        <v>0</v>
      </c>
      <c r="R21" s="27" t="n">
        <v>0</v>
      </c>
    </row>
    <row r="22" customFormat="false" ht="21" hidden="false" customHeight="true" outlineLevel="0" collapsed="false">
      <c r="A22" s="26" t="n">
        <v>12</v>
      </c>
      <c r="B22" s="26" t="s">
        <v>45</v>
      </c>
      <c r="C22" s="28" t="n">
        <v>2554</v>
      </c>
      <c r="D22" s="28" t="n">
        <v>215530</v>
      </c>
      <c r="E22" s="28" t="n">
        <v>0</v>
      </c>
      <c r="F22" s="28" t="n">
        <v>0</v>
      </c>
      <c r="G22" s="28" t="n">
        <v>2565</v>
      </c>
      <c r="H22" s="28" t="n">
        <v>233472</v>
      </c>
      <c r="I22" s="28" t="n">
        <v>0</v>
      </c>
      <c r="J22" s="28" t="n">
        <v>0</v>
      </c>
      <c r="K22" s="28" t="n">
        <v>357</v>
      </c>
      <c r="L22" s="28" t="n">
        <v>12201</v>
      </c>
      <c r="M22" s="28" t="n">
        <v>0</v>
      </c>
      <c r="N22" s="28" t="n">
        <v>0</v>
      </c>
      <c r="O22" s="28" t="n">
        <v>357</v>
      </c>
      <c r="P22" s="28" t="n">
        <v>14518</v>
      </c>
      <c r="Q22" s="28" t="n">
        <v>0</v>
      </c>
      <c r="R22" s="28" t="n">
        <v>0</v>
      </c>
    </row>
    <row r="23" customFormat="false" ht="21" hidden="false" customHeight="true" outlineLevel="0" collapsed="false">
      <c r="A23" s="26" t="n">
        <v>13</v>
      </c>
      <c r="B23" s="26" t="s">
        <v>46</v>
      </c>
      <c r="C23" s="27" t="n">
        <v>241</v>
      </c>
      <c r="D23" s="27" t="n">
        <v>18365</v>
      </c>
      <c r="E23" s="27" t="n">
        <v>0</v>
      </c>
      <c r="F23" s="27" t="n">
        <v>0</v>
      </c>
      <c r="G23" s="27" t="n">
        <v>241</v>
      </c>
      <c r="H23" s="27" t="n">
        <v>16793</v>
      </c>
      <c r="I23" s="27" t="n">
        <v>0</v>
      </c>
      <c r="J23" s="27" t="n">
        <v>0</v>
      </c>
      <c r="K23" s="27" t="n">
        <v>2758</v>
      </c>
      <c r="L23" s="27" t="n">
        <v>36334</v>
      </c>
      <c r="M23" s="27" t="n">
        <v>0.1</v>
      </c>
      <c r="N23" s="27" t="s">
        <v>34</v>
      </c>
      <c r="O23" s="27" t="n">
        <v>2756</v>
      </c>
      <c r="P23" s="27" t="n">
        <v>37552</v>
      </c>
      <c r="Q23" s="27" t="n">
        <v>1.5</v>
      </c>
      <c r="R23" s="27" t="s">
        <v>34</v>
      </c>
    </row>
    <row r="24" customFormat="false" ht="21" hidden="false" customHeight="true" outlineLevel="0" collapsed="false">
      <c r="A24" s="26" t="n">
        <v>14</v>
      </c>
      <c r="B24" s="26" t="s">
        <v>47</v>
      </c>
      <c r="C24" s="28" t="n">
        <v>50040</v>
      </c>
      <c r="D24" s="28" t="n">
        <v>5712885</v>
      </c>
      <c r="E24" s="28" t="n">
        <v>86297.09</v>
      </c>
      <c r="F24" s="28" t="n">
        <v>388012</v>
      </c>
      <c r="G24" s="28" t="n">
        <v>50024</v>
      </c>
      <c r="H24" s="28" t="n">
        <v>5681149</v>
      </c>
      <c r="I24" s="28" t="n">
        <v>78822.36</v>
      </c>
      <c r="J24" s="28" t="n">
        <v>2110932</v>
      </c>
      <c r="K24" s="28" t="n">
        <v>14654</v>
      </c>
      <c r="L24" s="28" t="n">
        <v>1317454</v>
      </c>
      <c r="M24" s="28" t="n">
        <v>40661.04</v>
      </c>
      <c r="N24" s="28" t="n">
        <v>409978</v>
      </c>
      <c r="O24" s="28" t="n">
        <v>14651</v>
      </c>
      <c r="P24" s="28" t="n">
        <v>1406123</v>
      </c>
      <c r="Q24" s="28" t="n">
        <v>10503.63</v>
      </c>
      <c r="R24" s="28" t="n">
        <v>794516</v>
      </c>
    </row>
    <row r="25" customFormat="false" ht="21" hidden="false" customHeight="true" outlineLevel="0" collapsed="false">
      <c r="A25" s="26" t="n">
        <v>15</v>
      </c>
      <c r="B25" s="26" t="s">
        <v>48</v>
      </c>
      <c r="C25" s="27" t="n">
        <v>7532</v>
      </c>
      <c r="D25" s="27" t="n">
        <v>659306</v>
      </c>
      <c r="E25" s="27" t="s">
        <v>34</v>
      </c>
      <c r="F25" s="27" t="s">
        <v>34</v>
      </c>
      <c r="G25" s="27" t="n">
        <v>7533</v>
      </c>
      <c r="H25" s="27" t="n">
        <v>676865</v>
      </c>
      <c r="I25" s="27" t="s">
        <v>34</v>
      </c>
      <c r="J25" s="27" t="s">
        <v>34</v>
      </c>
      <c r="K25" s="27" t="n">
        <v>2375</v>
      </c>
      <c r="L25" s="27" t="n">
        <v>216369</v>
      </c>
      <c r="M25" s="27" t="s">
        <v>34</v>
      </c>
      <c r="N25" s="27" t="s">
        <v>34</v>
      </c>
      <c r="O25" s="27" t="n">
        <v>2373</v>
      </c>
      <c r="P25" s="27" t="n">
        <v>205439</v>
      </c>
      <c r="Q25" s="27" t="s">
        <v>34</v>
      </c>
      <c r="R25" s="27" t="s">
        <v>34</v>
      </c>
    </row>
    <row r="26" customFormat="false" ht="21" hidden="false" customHeight="true" outlineLevel="0" collapsed="false">
      <c r="A26" s="26" t="n">
        <v>16</v>
      </c>
      <c r="B26" s="26" t="s">
        <v>49</v>
      </c>
      <c r="C26" s="28" t="n">
        <v>105</v>
      </c>
      <c r="D26" s="28" t="n">
        <v>2788</v>
      </c>
      <c r="E26" s="28" t="n">
        <v>0</v>
      </c>
      <c r="F26" s="28" t="n">
        <v>0</v>
      </c>
      <c r="G26" s="28" t="n">
        <v>128</v>
      </c>
      <c r="H26" s="28" t="n">
        <v>3541</v>
      </c>
      <c r="I26" s="28" t="n">
        <v>0</v>
      </c>
      <c r="J26" s="28" t="n">
        <v>0</v>
      </c>
      <c r="K26" s="28" t="n">
        <v>478</v>
      </c>
      <c r="L26" s="28" t="n">
        <v>58</v>
      </c>
      <c r="M26" s="28" t="n">
        <v>0</v>
      </c>
      <c r="N26" s="28" t="s">
        <v>34</v>
      </c>
      <c r="O26" s="28" t="n">
        <v>475</v>
      </c>
      <c r="P26" s="28" t="n">
        <v>56</v>
      </c>
      <c r="Q26" s="28" t="n">
        <v>0</v>
      </c>
      <c r="R26" s="28" t="s">
        <v>34</v>
      </c>
    </row>
    <row r="27" customFormat="false" ht="21" hidden="false" customHeight="true" outlineLevel="0" collapsed="false">
      <c r="A27" s="26" t="n">
        <v>17</v>
      </c>
      <c r="B27" s="26" t="s">
        <v>50</v>
      </c>
      <c r="C27" s="27" t="n">
        <v>1292</v>
      </c>
      <c r="D27" s="27" t="n">
        <v>119244</v>
      </c>
      <c r="E27" s="27" t="n">
        <v>0</v>
      </c>
      <c r="F27" s="27" t="n">
        <v>0</v>
      </c>
      <c r="G27" s="27" t="n">
        <v>1300</v>
      </c>
      <c r="H27" s="27" t="n">
        <v>127124</v>
      </c>
      <c r="I27" s="27" t="n">
        <v>0</v>
      </c>
      <c r="J27" s="27" t="n">
        <v>0</v>
      </c>
      <c r="K27" s="27" t="n">
        <v>128</v>
      </c>
      <c r="L27" s="27" t="n">
        <v>466</v>
      </c>
      <c r="M27" s="27" t="n">
        <v>0</v>
      </c>
      <c r="N27" s="27" t="s">
        <v>34</v>
      </c>
      <c r="O27" s="27" t="n">
        <v>129</v>
      </c>
      <c r="P27" s="27" t="n">
        <v>550</v>
      </c>
      <c r="Q27" s="27" t="n">
        <v>0</v>
      </c>
      <c r="R27" s="27" t="s">
        <v>34</v>
      </c>
    </row>
    <row r="28" customFormat="false" ht="21" hidden="false" customHeight="true" outlineLevel="0" collapsed="false">
      <c r="A28" s="26" t="n">
        <v>18</v>
      </c>
      <c r="B28" s="26" t="s">
        <v>51</v>
      </c>
      <c r="C28" s="28" t="n">
        <v>323</v>
      </c>
      <c r="D28" s="28" t="n">
        <v>29156</v>
      </c>
      <c r="E28" s="28" t="n">
        <v>0</v>
      </c>
      <c r="F28" s="28" t="n">
        <v>0</v>
      </c>
      <c r="G28" s="28" t="n">
        <v>324</v>
      </c>
      <c r="H28" s="28" t="n">
        <v>31656</v>
      </c>
      <c r="I28" s="28" t="n">
        <v>0</v>
      </c>
      <c r="J28" s="28" t="n">
        <v>0</v>
      </c>
      <c r="K28" s="28" t="s">
        <v>34</v>
      </c>
      <c r="L28" s="28" t="s">
        <v>34</v>
      </c>
      <c r="M28" s="28" t="s">
        <v>34</v>
      </c>
      <c r="N28" s="28" t="s">
        <v>34</v>
      </c>
      <c r="O28" s="28" t="s">
        <v>34</v>
      </c>
      <c r="P28" s="28" t="s">
        <v>34</v>
      </c>
      <c r="Q28" s="28" t="s">
        <v>34</v>
      </c>
      <c r="R28" s="28" t="s">
        <v>34</v>
      </c>
    </row>
    <row r="29" customFormat="false" ht="21" hidden="false" customHeight="true" outlineLevel="0" collapsed="false">
      <c r="A29" s="26" t="n">
        <v>19</v>
      </c>
      <c r="B29" s="26" t="s">
        <v>52</v>
      </c>
      <c r="C29" s="27" t="n">
        <v>63499</v>
      </c>
      <c r="D29" s="27" t="n">
        <v>7026115</v>
      </c>
      <c r="E29" s="27" t="n">
        <v>123949.97</v>
      </c>
      <c r="F29" s="27" t="s">
        <v>34</v>
      </c>
      <c r="G29" s="27" t="n">
        <v>63497</v>
      </c>
      <c r="H29" s="27" t="n">
        <v>6835648</v>
      </c>
      <c r="I29" s="27" t="n">
        <v>63807.4</v>
      </c>
      <c r="J29" s="27" t="s">
        <v>34</v>
      </c>
      <c r="K29" s="27" t="n">
        <v>18104</v>
      </c>
      <c r="L29" s="27" t="n">
        <v>1363728</v>
      </c>
      <c r="M29" s="27" t="n">
        <v>107112.09</v>
      </c>
      <c r="N29" s="27" t="s">
        <v>34</v>
      </c>
      <c r="O29" s="27" t="n">
        <v>18062</v>
      </c>
      <c r="P29" s="27" t="n">
        <v>1620446</v>
      </c>
      <c r="Q29" s="27" t="n">
        <v>17178.91</v>
      </c>
      <c r="R29" s="27" t="s">
        <v>34</v>
      </c>
    </row>
    <row r="30" customFormat="false" ht="21" hidden="false" customHeight="true" outlineLevel="0" collapsed="false">
      <c r="A30" s="26" t="n">
        <v>20</v>
      </c>
      <c r="B30" s="26" t="s">
        <v>53</v>
      </c>
      <c r="C30" s="28" t="n">
        <v>896</v>
      </c>
      <c r="D30" s="28" t="n">
        <v>70465</v>
      </c>
      <c r="E30" s="28" t="n">
        <v>0</v>
      </c>
      <c r="F30" s="28" t="n">
        <v>0</v>
      </c>
      <c r="G30" s="28" t="n">
        <v>896</v>
      </c>
      <c r="H30" s="28" t="n">
        <v>70318</v>
      </c>
      <c r="I30" s="28" t="n">
        <v>0</v>
      </c>
      <c r="J30" s="28" t="n">
        <v>0</v>
      </c>
      <c r="K30" s="28" t="n">
        <v>250</v>
      </c>
      <c r="L30" s="28" t="n">
        <v>12183</v>
      </c>
      <c r="M30" s="28" t="n">
        <v>0</v>
      </c>
      <c r="N30" s="28" t="s">
        <v>34</v>
      </c>
      <c r="O30" s="28" t="n">
        <v>250</v>
      </c>
      <c r="P30" s="28" t="n">
        <v>11350</v>
      </c>
      <c r="Q30" s="28" t="n">
        <v>0</v>
      </c>
      <c r="R30" s="28" t="s">
        <v>34</v>
      </c>
    </row>
    <row r="31" customFormat="false" ht="21" hidden="false" customHeight="true" outlineLevel="0" collapsed="false">
      <c r="A31" s="26" t="n">
        <v>21</v>
      </c>
      <c r="B31" s="26" t="s">
        <v>54</v>
      </c>
      <c r="C31" s="27" t="n">
        <v>2879</v>
      </c>
      <c r="D31" s="27" t="n">
        <v>267235</v>
      </c>
      <c r="E31" s="27" t="n">
        <v>3.66</v>
      </c>
      <c r="F31" s="27" t="n">
        <v>241</v>
      </c>
      <c r="G31" s="27" t="n">
        <v>2879</v>
      </c>
      <c r="H31" s="27" t="n">
        <v>266452</v>
      </c>
      <c r="I31" s="27" t="n">
        <v>1.2</v>
      </c>
      <c r="J31" s="27" t="n">
        <v>576</v>
      </c>
      <c r="K31" s="27" t="n">
        <v>237</v>
      </c>
      <c r="L31" s="27" t="n">
        <v>14935</v>
      </c>
      <c r="M31" s="27" t="n">
        <v>0</v>
      </c>
      <c r="N31" s="27" t="n">
        <v>0</v>
      </c>
      <c r="O31" s="27" t="n">
        <v>237</v>
      </c>
      <c r="P31" s="27" t="n">
        <v>21418</v>
      </c>
      <c r="Q31" s="27" t="n">
        <v>0</v>
      </c>
      <c r="R31" s="27" t="n">
        <v>0</v>
      </c>
    </row>
    <row r="32" customFormat="false" ht="21" hidden="false" customHeight="true" outlineLevel="0" collapsed="false">
      <c r="A32" s="26" t="n">
        <v>22</v>
      </c>
      <c r="B32" s="26" t="s">
        <v>55</v>
      </c>
      <c r="C32" s="28" t="n">
        <v>320</v>
      </c>
      <c r="D32" s="28" t="n">
        <v>26620</v>
      </c>
      <c r="E32" s="28" t="n">
        <v>0</v>
      </c>
      <c r="F32" s="28" t="n">
        <v>0</v>
      </c>
      <c r="G32" s="28" t="n">
        <v>320</v>
      </c>
      <c r="H32" s="28" t="n">
        <v>27922</v>
      </c>
      <c r="I32" s="28" t="n">
        <v>0</v>
      </c>
      <c r="J32" s="28" t="n">
        <v>0</v>
      </c>
      <c r="K32" s="28" t="n">
        <v>145</v>
      </c>
      <c r="L32" s="28" t="n">
        <v>2871</v>
      </c>
      <c r="M32" s="28" t="n">
        <v>0.13</v>
      </c>
      <c r="N32" s="28" t="s">
        <v>34</v>
      </c>
      <c r="O32" s="28" t="n">
        <v>143</v>
      </c>
      <c r="P32" s="28" t="n">
        <v>2976</v>
      </c>
      <c r="Q32" s="28" t="n">
        <v>0.21</v>
      </c>
      <c r="R32" s="28" t="s">
        <v>34</v>
      </c>
    </row>
    <row r="33" customFormat="false" ht="21" hidden="false" customHeight="true" outlineLevel="0" collapsed="false">
      <c r="A33" s="26" t="n">
        <v>23</v>
      </c>
      <c r="B33" s="26" t="s">
        <v>56</v>
      </c>
      <c r="C33" s="27" t="n">
        <v>5557</v>
      </c>
      <c r="D33" s="27" t="n">
        <v>512078</v>
      </c>
      <c r="E33" s="27" t="n">
        <v>0</v>
      </c>
      <c r="F33" s="27" t="n">
        <v>0</v>
      </c>
      <c r="G33" s="27" t="n">
        <v>5766</v>
      </c>
      <c r="H33" s="27" t="n">
        <v>545620</v>
      </c>
      <c r="I33" s="27" t="n">
        <v>0</v>
      </c>
      <c r="J33" s="27" t="n">
        <v>0</v>
      </c>
      <c r="K33" s="27" t="n">
        <v>265</v>
      </c>
      <c r="L33" s="27" t="n">
        <v>17444</v>
      </c>
      <c r="M33" s="27" t="n">
        <v>0</v>
      </c>
      <c r="N33" s="27" t="n">
        <v>0</v>
      </c>
      <c r="O33" s="27" t="n">
        <v>346</v>
      </c>
      <c r="P33" s="27" t="n">
        <v>32433</v>
      </c>
      <c r="Q33" s="27" t="n">
        <v>0</v>
      </c>
      <c r="R33" s="27" t="n">
        <v>0</v>
      </c>
    </row>
    <row r="34" customFormat="false" ht="21" hidden="false" customHeight="true" outlineLevel="0" collapsed="false">
      <c r="A34" s="26" t="n">
        <v>24</v>
      </c>
      <c r="B34" s="26" t="s">
        <v>57</v>
      </c>
      <c r="C34" s="28" t="n">
        <v>608</v>
      </c>
      <c r="D34" s="28" t="n">
        <v>37936</v>
      </c>
      <c r="E34" s="28" t="n">
        <v>0</v>
      </c>
      <c r="F34" s="28" t="n">
        <v>0</v>
      </c>
      <c r="G34" s="28" t="n">
        <v>608</v>
      </c>
      <c r="H34" s="28" t="n">
        <v>36962</v>
      </c>
      <c r="I34" s="28" t="n">
        <v>0</v>
      </c>
      <c r="J34" s="28" t="n">
        <v>0</v>
      </c>
      <c r="K34" s="28" t="n">
        <v>601</v>
      </c>
      <c r="L34" s="28" t="n">
        <v>1850</v>
      </c>
      <c r="M34" s="28" t="n">
        <v>0</v>
      </c>
      <c r="N34" s="28" t="s">
        <v>34</v>
      </c>
      <c r="O34" s="28" t="n">
        <v>600</v>
      </c>
      <c r="P34" s="28" t="n">
        <v>1589</v>
      </c>
      <c r="Q34" s="28" t="n">
        <v>0</v>
      </c>
      <c r="R34" s="28" t="s">
        <v>34</v>
      </c>
    </row>
    <row r="35" customFormat="false" ht="21" hidden="false" customHeight="true" outlineLevel="0" collapsed="false">
      <c r="A35" s="26" t="n">
        <v>25</v>
      </c>
      <c r="B35" s="26" t="s">
        <v>58</v>
      </c>
      <c r="C35" s="27" t="n">
        <v>986</v>
      </c>
      <c r="D35" s="27" t="n">
        <v>80885</v>
      </c>
      <c r="E35" s="27" t="n">
        <v>0</v>
      </c>
      <c r="F35" s="27" t="n">
        <v>0</v>
      </c>
      <c r="G35" s="27" t="n">
        <v>1016</v>
      </c>
      <c r="H35" s="27" t="n">
        <v>92054</v>
      </c>
      <c r="I35" s="27" t="n">
        <v>0</v>
      </c>
      <c r="J35" s="27" t="n">
        <v>0</v>
      </c>
      <c r="K35" s="27" t="n">
        <v>18</v>
      </c>
      <c r="L35" s="27" t="n">
        <v>311</v>
      </c>
      <c r="M35" s="27" t="n">
        <v>0</v>
      </c>
      <c r="N35" s="27" t="s">
        <v>34</v>
      </c>
      <c r="O35" s="27" t="n">
        <v>18</v>
      </c>
      <c r="P35" s="27" t="n">
        <v>184</v>
      </c>
      <c r="Q35" s="27" t="n">
        <v>0</v>
      </c>
      <c r="R35" s="27" t="s">
        <v>34</v>
      </c>
    </row>
    <row r="36" customFormat="false" ht="21" hidden="false" customHeight="true" outlineLevel="0" collapsed="false">
      <c r="A36" s="26" t="n">
        <v>26</v>
      </c>
      <c r="B36" s="26" t="s">
        <v>59</v>
      </c>
      <c r="C36" s="28" t="n">
        <v>456</v>
      </c>
      <c r="D36" s="28" t="n">
        <v>34948</v>
      </c>
      <c r="E36" s="28" t="n">
        <v>0</v>
      </c>
      <c r="F36" s="28" t="n">
        <v>0</v>
      </c>
      <c r="G36" s="28" t="n">
        <v>456</v>
      </c>
      <c r="H36" s="28" t="n">
        <v>38517</v>
      </c>
      <c r="I36" s="28" t="n">
        <v>0</v>
      </c>
      <c r="J36" s="28" t="n">
        <v>0</v>
      </c>
      <c r="K36" s="28" t="n">
        <v>153</v>
      </c>
      <c r="L36" s="28" t="n">
        <v>245</v>
      </c>
      <c r="M36" s="28" t="n">
        <v>13.5</v>
      </c>
      <c r="N36" s="28" t="s">
        <v>34</v>
      </c>
      <c r="O36" s="28" t="n">
        <v>153</v>
      </c>
      <c r="P36" s="28" t="n">
        <v>346</v>
      </c>
      <c r="Q36" s="28" t="n">
        <v>19.5</v>
      </c>
      <c r="R36" s="28" t="s">
        <v>34</v>
      </c>
    </row>
    <row r="37" customFormat="false" ht="21" hidden="false" customHeight="true" outlineLevel="0" collapsed="false">
      <c r="A37" s="26" t="n">
        <v>27</v>
      </c>
      <c r="B37" s="26" t="s">
        <v>60</v>
      </c>
      <c r="C37" s="27" t="n">
        <v>1218</v>
      </c>
      <c r="D37" s="27" t="n">
        <v>87067</v>
      </c>
      <c r="E37" s="27" t="n">
        <v>0.24</v>
      </c>
      <c r="F37" s="27" t="n">
        <v>0</v>
      </c>
      <c r="G37" s="27" t="n">
        <v>1218</v>
      </c>
      <c r="H37" s="27" t="n">
        <v>92873</v>
      </c>
      <c r="I37" s="27" t="n">
        <v>0.26</v>
      </c>
      <c r="J37" s="27" t="n">
        <v>45</v>
      </c>
      <c r="K37" s="27" t="n">
        <v>440</v>
      </c>
      <c r="L37" s="27" t="n">
        <v>28260</v>
      </c>
      <c r="M37" s="27" t="n">
        <v>0</v>
      </c>
      <c r="N37" s="27" t="n">
        <v>0</v>
      </c>
      <c r="O37" s="27" t="n">
        <v>440</v>
      </c>
      <c r="P37" s="27" t="n">
        <v>28829</v>
      </c>
      <c r="Q37" s="27" t="n">
        <v>0</v>
      </c>
      <c r="R37" s="27" t="n">
        <v>0</v>
      </c>
    </row>
    <row r="38" customFormat="false" ht="21" hidden="false" customHeight="true" outlineLevel="0" collapsed="false">
      <c r="A38" s="26" t="n">
        <v>28</v>
      </c>
      <c r="B38" s="26" t="s">
        <v>61</v>
      </c>
      <c r="C38" s="28" t="s">
        <v>34</v>
      </c>
      <c r="D38" s="28" t="s">
        <v>34</v>
      </c>
      <c r="E38" s="28" t="s">
        <v>34</v>
      </c>
      <c r="F38" s="28" t="s">
        <v>34</v>
      </c>
      <c r="G38" s="28" t="s">
        <v>34</v>
      </c>
      <c r="H38" s="28" t="s">
        <v>34</v>
      </c>
      <c r="I38" s="28" t="s">
        <v>34</v>
      </c>
      <c r="J38" s="28" t="s">
        <v>34</v>
      </c>
      <c r="K38" s="28" t="n">
        <v>13</v>
      </c>
      <c r="L38" s="28" t="n">
        <v>56</v>
      </c>
      <c r="M38" s="28" t="n">
        <v>0</v>
      </c>
      <c r="N38" s="28" t="n">
        <v>0</v>
      </c>
      <c r="O38" s="28" t="n">
        <v>14</v>
      </c>
      <c r="P38" s="28" t="n">
        <v>59</v>
      </c>
      <c r="Q38" s="28" t="n">
        <v>0</v>
      </c>
      <c r="R38" s="28" t="n">
        <v>0</v>
      </c>
    </row>
    <row r="39" customFormat="false" ht="21" hidden="false" customHeight="true" outlineLevel="0" collapsed="false">
      <c r="A39" s="29" t="s">
        <v>62</v>
      </c>
      <c r="B39" s="29"/>
      <c r="C39" s="30" t="n">
        <f aca="false">SUM(C11:C38)</f>
        <v>190852</v>
      </c>
      <c r="D39" s="30" t="n">
        <f aca="false">SUM(D11:D38)</f>
        <v>19959313</v>
      </c>
      <c r="E39" s="31" t="n">
        <f aca="false">SUM(E11:E38)</f>
        <v>215198.14</v>
      </c>
      <c r="F39" s="31" t="n">
        <f aca="false">SUM(F11:F38)</f>
        <v>516180</v>
      </c>
      <c r="G39" s="30" t="n">
        <f aca="false">SUM(G11:G38)</f>
        <v>191122</v>
      </c>
      <c r="H39" s="30" t="n">
        <f aca="false">SUM(H11:H38)</f>
        <v>19941761</v>
      </c>
      <c r="I39" s="32" t="n">
        <f aca="false">SUM(I11:I38)</f>
        <v>144506.55</v>
      </c>
      <c r="J39" s="32" t="n">
        <f aca="false">SUM(J11:J38)</f>
        <v>2270965</v>
      </c>
      <c r="K39" s="30" t="n">
        <f aca="false">SUM(K11:K38)</f>
        <v>57503</v>
      </c>
      <c r="L39" s="30" t="n">
        <f aca="false">SUM(L11:L38)</f>
        <v>4168193</v>
      </c>
      <c r="M39" s="31" t="n">
        <f aca="false">SUM(M11:M38)</f>
        <v>178973.68</v>
      </c>
      <c r="N39" s="31" t="n">
        <f aca="false">SUM(N11:N38)</f>
        <v>893400</v>
      </c>
      <c r="O39" s="30" t="n">
        <f aca="false">SUM(O11:O38)</f>
        <v>57515</v>
      </c>
      <c r="P39" s="30" t="n">
        <f aca="false">SUM(P11:P38)</f>
        <v>4652221</v>
      </c>
      <c r="Q39" s="32" t="n">
        <f aca="false">SUM(Q11:Q38)</f>
        <v>41210.4</v>
      </c>
      <c r="R39" s="32" t="n">
        <f aca="false">SUM(R11:R38)</f>
        <v>1857885</v>
      </c>
    </row>
    <row r="40" customFormat="false" ht="21" hidden="false" customHeight="true" outlineLevel="0" collapsed="false">
      <c r="B40" s="18"/>
      <c r="C40" s="18"/>
      <c r="D40" s="5"/>
      <c r="E40" s="6"/>
      <c r="F40" s="6"/>
      <c r="G40" s="5"/>
      <c r="H40" s="5"/>
      <c r="I40" s="5"/>
      <c r="J40" s="5"/>
      <c r="K40" s="5"/>
      <c r="L40" s="5"/>
      <c r="M40" s="5"/>
      <c r="N40" s="5"/>
      <c r="O40" s="5"/>
      <c r="P40" s="19"/>
      <c r="Q40" s="19"/>
      <c r="R40" s="19"/>
    </row>
    <row r="41" customFormat="false" ht="54.75" hidden="false" customHeight="true" outlineLevel="0" collapsed="false">
      <c r="B41" s="20" t="s">
        <v>63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</row>
    <row r="42" customFormat="false" ht="21" hidden="false" customHeight="true" outlineLevel="0" collapsed="false">
      <c r="B42" s="21"/>
      <c r="C42" s="21"/>
      <c r="D42" s="21"/>
      <c r="E42" s="21"/>
      <c r="F42" s="22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22"/>
    </row>
    <row r="43" customFormat="false" ht="21" hidden="false" customHeight="true" outlineLevel="0" collapsed="false">
      <c r="A43" s="23" t="s">
        <v>19</v>
      </c>
      <c r="B43" s="24" t="s">
        <v>64</v>
      </c>
      <c r="C43" s="24" t="s">
        <v>65</v>
      </c>
      <c r="D43" s="24"/>
      <c r="E43" s="24"/>
      <c r="F43" s="24"/>
      <c r="G43" s="24"/>
      <c r="H43" s="24"/>
      <c r="I43" s="24"/>
      <c r="J43" s="24"/>
      <c r="K43" s="24" t="s">
        <v>66</v>
      </c>
      <c r="L43" s="24"/>
      <c r="M43" s="24"/>
      <c r="N43" s="24"/>
      <c r="O43" s="24"/>
      <c r="P43" s="24"/>
      <c r="Q43" s="24"/>
      <c r="R43" s="24"/>
    </row>
    <row r="44" customFormat="false" ht="21" hidden="false" customHeight="true" outlineLevel="0" collapsed="false">
      <c r="A44" s="23"/>
      <c r="B44" s="24"/>
      <c r="C44" s="24" t="s">
        <v>67</v>
      </c>
      <c r="D44" s="25" t="s">
        <v>68</v>
      </c>
      <c r="E44" s="25"/>
      <c r="F44" s="25"/>
      <c r="G44" s="24" t="s">
        <v>67</v>
      </c>
      <c r="H44" s="24" t="s">
        <v>69</v>
      </c>
      <c r="I44" s="24"/>
      <c r="J44" s="24"/>
      <c r="K44" s="24" t="s">
        <v>70</v>
      </c>
      <c r="L44" s="24" t="s">
        <v>71</v>
      </c>
      <c r="M44" s="24"/>
      <c r="N44" s="24"/>
      <c r="O44" s="24" t="s">
        <v>67</v>
      </c>
      <c r="P44" s="24" t="s">
        <v>72</v>
      </c>
      <c r="Q44" s="24"/>
      <c r="R44" s="24"/>
    </row>
    <row r="45" customFormat="false" ht="21" hidden="false" customHeight="true" outlineLevel="0" collapsed="false">
      <c r="A45" s="23"/>
      <c r="B45" s="24"/>
      <c r="C45" s="24"/>
      <c r="D45" s="25" t="s">
        <v>73</v>
      </c>
      <c r="E45" s="24" t="s">
        <v>74</v>
      </c>
      <c r="F45" s="24" t="s">
        <v>75</v>
      </c>
      <c r="G45" s="24"/>
      <c r="H45" s="24" t="s">
        <v>76</v>
      </c>
      <c r="I45" s="24" t="s">
        <v>77</v>
      </c>
      <c r="J45" s="24" t="s">
        <v>75</v>
      </c>
      <c r="K45" s="24"/>
      <c r="L45" s="24" t="s">
        <v>76</v>
      </c>
      <c r="M45" s="24" t="s">
        <v>77</v>
      </c>
      <c r="N45" s="24" t="s">
        <v>75</v>
      </c>
      <c r="O45" s="24"/>
      <c r="P45" s="24" t="s">
        <v>76</v>
      </c>
      <c r="Q45" s="24" t="s">
        <v>77</v>
      </c>
      <c r="R45" s="24" t="s">
        <v>75</v>
      </c>
    </row>
    <row r="46" customFormat="false" ht="21" hidden="false" customHeight="true" outlineLevel="0" collapsed="false">
      <c r="A46" s="23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</row>
    <row r="47" customFormat="false" ht="21" hidden="false" customHeight="true" outlineLevel="0" collapsed="false">
      <c r="A47" s="23"/>
      <c r="B47" s="24"/>
      <c r="C47" s="24"/>
      <c r="D47" s="25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</row>
    <row r="48" customFormat="false" ht="21" hidden="false" customHeight="true" outlineLevel="0" collapsed="false">
      <c r="A48" s="26" t="n">
        <v>1</v>
      </c>
      <c r="B48" s="26" t="s">
        <v>33</v>
      </c>
      <c r="C48" s="27" t="n">
        <v>1129</v>
      </c>
      <c r="D48" s="27" t="n">
        <v>99334</v>
      </c>
      <c r="E48" s="27" t="n">
        <v>0</v>
      </c>
      <c r="F48" s="27" t="e">
        <f aca="false" t="array" ref="F48:F48">F48:H347</f>
        <v>#VALUE!</v>
      </c>
      <c r="G48" s="27" t="n">
        <v>1129</v>
      </c>
      <c r="H48" s="27" t="n">
        <v>102346</v>
      </c>
      <c r="I48" s="27" t="n">
        <v>0</v>
      </c>
      <c r="J48" s="27" t="n">
        <v>0</v>
      </c>
      <c r="K48" s="27" t="n">
        <v>31</v>
      </c>
      <c r="L48" s="27" t="n">
        <v>157</v>
      </c>
      <c r="M48" s="27" t="n">
        <v>0</v>
      </c>
      <c r="N48" s="27" t="s">
        <v>34</v>
      </c>
      <c r="O48" s="27" t="n">
        <v>31</v>
      </c>
      <c r="P48" s="27" t="n">
        <v>171</v>
      </c>
      <c r="Q48" s="27" t="n">
        <v>0</v>
      </c>
      <c r="R48" s="27" t="s">
        <v>34</v>
      </c>
    </row>
    <row r="49" customFormat="false" ht="21" hidden="false" customHeight="true" outlineLevel="0" collapsed="false">
      <c r="A49" s="26" t="n">
        <v>2</v>
      </c>
      <c r="B49" s="26" t="s">
        <v>35</v>
      </c>
      <c r="C49" s="28" t="n">
        <v>7655</v>
      </c>
      <c r="D49" s="28" t="n">
        <v>875995</v>
      </c>
      <c r="E49" s="28" t="n">
        <v>0</v>
      </c>
      <c r="F49" s="28" t="n">
        <v>0</v>
      </c>
      <c r="G49" s="28" t="n">
        <v>7654</v>
      </c>
      <c r="H49" s="28" t="n">
        <v>895307</v>
      </c>
      <c r="I49" s="28" t="n">
        <v>0</v>
      </c>
      <c r="J49" s="28" t="n">
        <v>0</v>
      </c>
      <c r="K49" s="28" t="n">
        <v>484</v>
      </c>
      <c r="L49" s="28" t="n">
        <v>34897</v>
      </c>
      <c r="M49" s="28" t="n">
        <v>0</v>
      </c>
      <c r="N49" s="28" t="n">
        <v>0</v>
      </c>
      <c r="O49" s="28" t="n">
        <v>483</v>
      </c>
      <c r="P49" s="28" t="n">
        <v>43297</v>
      </c>
      <c r="Q49" s="28" t="n">
        <v>0</v>
      </c>
      <c r="R49" s="28" t="n">
        <v>0</v>
      </c>
    </row>
    <row r="50" customFormat="false" ht="21" hidden="false" customHeight="true" outlineLevel="0" collapsed="false">
      <c r="A50" s="26" t="n">
        <v>3</v>
      </c>
      <c r="B50" s="26" t="s">
        <v>36</v>
      </c>
      <c r="C50" s="27" t="n">
        <v>1103</v>
      </c>
      <c r="D50" s="27" t="n">
        <v>113396</v>
      </c>
      <c r="E50" s="27" t="n">
        <v>0</v>
      </c>
      <c r="F50" s="27" t="n">
        <v>0</v>
      </c>
      <c r="G50" s="27" t="n">
        <v>1105</v>
      </c>
      <c r="H50" s="27" t="n">
        <v>115331</v>
      </c>
      <c r="I50" s="27" t="n">
        <v>0</v>
      </c>
      <c r="J50" s="27" t="n">
        <v>0</v>
      </c>
      <c r="K50" s="27" t="n">
        <v>197</v>
      </c>
      <c r="L50" s="27" t="n">
        <v>15958</v>
      </c>
      <c r="M50" s="27" t="n">
        <v>0</v>
      </c>
      <c r="N50" s="27" t="n">
        <v>0</v>
      </c>
      <c r="O50" s="27" t="n">
        <v>199</v>
      </c>
      <c r="P50" s="27" t="n">
        <v>18465</v>
      </c>
      <c r="Q50" s="27" t="n">
        <v>0</v>
      </c>
      <c r="R50" s="27" t="n">
        <v>0</v>
      </c>
    </row>
    <row r="51" customFormat="false" ht="21" hidden="false" customHeight="true" outlineLevel="0" collapsed="false">
      <c r="A51" s="26" t="n">
        <v>4</v>
      </c>
      <c r="B51" s="26" t="s">
        <v>37</v>
      </c>
      <c r="C51" s="28" t="n">
        <v>516</v>
      </c>
      <c r="D51" s="28" t="n">
        <v>54903</v>
      </c>
      <c r="E51" s="28" t="n">
        <v>0</v>
      </c>
      <c r="F51" s="28" t="n">
        <v>0</v>
      </c>
      <c r="G51" s="28" t="n">
        <v>516</v>
      </c>
      <c r="H51" s="28" t="n">
        <v>56137</v>
      </c>
      <c r="I51" s="28" t="n">
        <v>0</v>
      </c>
      <c r="J51" s="28" t="n">
        <v>0</v>
      </c>
      <c r="K51" s="28" t="n">
        <v>136</v>
      </c>
      <c r="L51" s="28" t="n">
        <v>703</v>
      </c>
      <c r="M51" s="28" t="n">
        <v>0</v>
      </c>
      <c r="N51" s="28" t="s">
        <v>34</v>
      </c>
      <c r="O51" s="28" t="n">
        <v>136</v>
      </c>
      <c r="P51" s="28" t="n">
        <v>695</v>
      </c>
      <c r="Q51" s="28" t="n">
        <v>0</v>
      </c>
      <c r="R51" s="28" t="s">
        <v>34</v>
      </c>
    </row>
    <row r="52" customFormat="false" ht="21" hidden="false" customHeight="true" outlineLevel="0" collapsed="false">
      <c r="A52" s="26" t="n">
        <v>5</v>
      </c>
      <c r="B52" s="26" t="s">
        <v>38</v>
      </c>
      <c r="C52" s="27" t="n">
        <v>922</v>
      </c>
      <c r="D52" s="27" t="n">
        <v>96833</v>
      </c>
      <c r="E52" s="27" t="n">
        <v>0</v>
      </c>
      <c r="F52" s="27" t="n">
        <v>0</v>
      </c>
      <c r="G52" s="27" t="n">
        <v>922</v>
      </c>
      <c r="H52" s="27" t="n">
        <v>100919</v>
      </c>
      <c r="I52" s="27" t="n">
        <v>0</v>
      </c>
      <c r="J52" s="27" t="n">
        <v>0</v>
      </c>
      <c r="K52" s="27" t="n">
        <v>12</v>
      </c>
      <c r="L52" s="27" t="n">
        <v>16</v>
      </c>
      <c r="M52" s="27" t="n">
        <v>0</v>
      </c>
      <c r="N52" s="27" t="s">
        <v>34</v>
      </c>
      <c r="O52" s="27" t="n">
        <v>12</v>
      </c>
      <c r="P52" s="27" t="n">
        <v>41</v>
      </c>
      <c r="Q52" s="27" t="n">
        <v>0</v>
      </c>
      <c r="R52" s="27" t="s">
        <v>34</v>
      </c>
    </row>
    <row r="53" customFormat="false" ht="21" hidden="false" customHeight="true" outlineLevel="0" collapsed="false">
      <c r="A53" s="26" t="n">
        <v>6</v>
      </c>
      <c r="B53" s="26" t="s">
        <v>39</v>
      </c>
      <c r="C53" s="28" t="n">
        <v>12876</v>
      </c>
      <c r="D53" s="28" t="n">
        <v>1374618</v>
      </c>
      <c r="E53" s="28" t="n">
        <v>3970.79</v>
      </c>
      <c r="F53" s="28" t="n">
        <v>127397</v>
      </c>
      <c r="G53" s="28" t="n">
        <v>12875</v>
      </c>
      <c r="H53" s="28" t="n">
        <v>1351469</v>
      </c>
      <c r="I53" s="28" t="n">
        <v>1661.46</v>
      </c>
      <c r="J53" s="28" t="n">
        <v>89422</v>
      </c>
      <c r="K53" s="28" t="n">
        <v>10940</v>
      </c>
      <c r="L53" s="28" t="n">
        <v>688400</v>
      </c>
      <c r="M53" s="28" t="n">
        <v>20850.97</v>
      </c>
      <c r="N53" s="28" t="n">
        <v>534950</v>
      </c>
      <c r="O53" s="28" t="n">
        <v>10942</v>
      </c>
      <c r="P53" s="28" t="n">
        <v>823287</v>
      </c>
      <c r="Q53" s="28" t="n">
        <v>4994.78</v>
      </c>
      <c r="R53" s="28" t="n">
        <v>266230</v>
      </c>
    </row>
    <row r="54" customFormat="false" ht="21" hidden="false" customHeight="true" outlineLevel="0" collapsed="false">
      <c r="A54" s="26" t="n">
        <v>7</v>
      </c>
      <c r="B54" s="26" t="s">
        <v>40</v>
      </c>
      <c r="C54" s="27" t="n">
        <v>65</v>
      </c>
      <c r="D54" s="27" t="n">
        <v>4692</v>
      </c>
      <c r="E54" s="27" t="n">
        <v>0</v>
      </c>
      <c r="F54" s="27" t="n">
        <v>0</v>
      </c>
      <c r="G54" s="27" t="n">
        <v>65</v>
      </c>
      <c r="H54" s="27" t="n">
        <v>4579</v>
      </c>
      <c r="I54" s="27" t="n">
        <v>0</v>
      </c>
      <c r="J54" s="27" t="n">
        <v>0</v>
      </c>
      <c r="K54" s="27" t="n">
        <v>37</v>
      </c>
      <c r="L54" s="27" t="n">
        <v>0</v>
      </c>
      <c r="M54" s="27" t="n">
        <v>166.65</v>
      </c>
      <c r="N54" s="27" t="s">
        <v>34</v>
      </c>
      <c r="O54" s="27" t="n">
        <v>37</v>
      </c>
      <c r="P54" s="27" t="n">
        <v>2</v>
      </c>
      <c r="Q54" s="27" t="n">
        <v>166.65</v>
      </c>
      <c r="R54" s="27" t="s">
        <v>34</v>
      </c>
    </row>
    <row r="55" customFormat="false" ht="21" hidden="false" customHeight="true" outlineLevel="0" collapsed="false">
      <c r="A55" s="26" t="n">
        <v>8</v>
      </c>
      <c r="B55" s="26" t="s">
        <v>78</v>
      </c>
      <c r="C55" s="28" t="n">
        <v>1455</v>
      </c>
      <c r="D55" s="28" t="n">
        <v>147347</v>
      </c>
      <c r="E55" s="28" t="n">
        <v>0</v>
      </c>
      <c r="F55" s="28" t="n">
        <v>0</v>
      </c>
      <c r="G55" s="28" t="n">
        <v>1455</v>
      </c>
      <c r="H55" s="28" t="n">
        <v>152430</v>
      </c>
      <c r="I55" s="28" t="n">
        <v>0</v>
      </c>
      <c r="J55" s="28" t="n">
        <v>0</v>
      </c>
      <c r="K55" s="28" t="n">
        <v>62</v>
      </c>
      <c r="L55" s="28" t="n">
        <v>2436</v>
      </c>
      <c r="M55" s="28" t="n">
        <v>0</v>
      </c>
      <c r="N55" s="28" t="n">
        <v>0</v>
      </c>
      <c r="O55" s="28" t="n">
        <v>62</v>
      </c>
      <c r="P55" s="28" t="n">
        <v>2581</v>
      </c>
      <c r="Q55" s="28" t="n">
        <v>0</v>
      </c>
      <c r="R55" s="28" t="n">
        <v>0</v>
      </c>
    </row>
    <row r="56" customFormat="false" ht="21" hidden="false" customHeight="true" outlineLevel="0" collapsed="false">
      <c r="A56" s="26" t="n">
        <v>9</v>
      </c>
      <c r="B56" s="26" t="s">
        <v>42</v>
      </c>
      <c r="C56" s="27" t="n">
        <v>166</v>
      </c>
      <c r="D56" s="27" t="n">
        <v>9473</v>
      </c>
      <c r="E56" s="27" t="n">
        <v>0</v>
      </c>
      <c r="F56" s="27" t="n">
        <v>0</v>
      </c>
      <c r="G56" s="27" t="n">
        <v>166</v>
      </c>
      <c r="H56" s="27" t="n">
        <v>10162</v>
      </c>
      <c r="I56" s="27" t="n">
        <v>0</v>
      </c>
      <c r="J56" s="27" t="n">
        <v>0</v>
      </c>
      <c r="K56" s="27" t="n">
        <v>155</v>
      </c>
      <c r="L56" s="27" t="n">
        <v>752</v>
      </c>
      <c r="M56" s="27" t="n">
        <v>140.75</v>
      </c>
      <c r="N56" s="27" t="s">
        <v>34</v>
      </c>
      <c r="O56" s="27" t="n">
        <v>155</v>
      </c>
      <c r="P56" s="27" t="n">
        <v>819</v>
      </c>
      <c r="Q56" s="27" t="n">
        <v>0</v>
      </c>
      <c r="R56" s="27" t="s">
        <v>34</v>
      </c>
    </row>
    <row r="57" customFormat="false" ht="21" hidden="false" customHeight="true" outlineLevel="0" collapsed="false">
      <c r="A57" s="26" t="n">
        <v>10</v>
      </c>
      <c r="B57" s="26" t="s">
        <v>43</v>
      </c>
      <c r="C57" s="28" t="n">
        <v>1463</v>
      </c>
      <c r="D57" s="28" t="n">
        <v>154049</v>
      </c>
      <c r="E57" s="28" t="n">
        <v>0</v>
      </c>
      <c r="F57" s="28" t="n">
        <v>0</v>
      </c>
      <c r="G57" s="28" t="n">
        <v>1463</v>
      </c>
      <c r="H57" s="28" t="n">
        <v>152911</v>
      </c>
      <c r="I57" s="28" t="n">
        <v>0</v>
      </c>
      <c r="J57" s="28" t="n">
        <v>0</v>
      </c>
      <c r="K57" s="28" t="n">
        <v>1070</v>
      </c>
      <c r="L57" s="28" t="n">
        <v>83429</v>
      </c>
      <c r="M57" s="28" t="n">
        <v>0</v>
      </c>
      <c r="N57" s="28" t="n">
        <v>0</v>
      </c>
      <c r="O57" s="28" t="n">
        <v>1070</v>
      </c>
      <c r="P57" s="28" t="n">
        <v>87556</v>
      </c>
      <c r="Q57" s="28" t="n">
        <v>0</v>
      </c>
      <c r="R57" s="28" t="n">
        <v>0</v>
      </c>
    </row>
    <row r="58" customFormat="false" ht="21" hidden="false" customHeight="true" outlineLevel="0" collapsed="false">
      <c r="A58" s="26" t="n">
        <v>11</v>
      </c>
      <c r="B58" s="26" t="s">
        <v>44</v>
      </c>
      <c r="C58" s="27" t="n">
        <v>6138</v>
      </c>
      <c r="D58" s="27" t="n">
        <v>629357</v>
      </c>
      <c r="E58" s="27" t="n">
        <v>0</v>
      </c>
      <c r="F58" s="27" t="n">
        <v>0</v>
      </c>
      <c r="G58" s="27" t="n">
        <v>6139</v>
      </c>
      <c r="H58" s="27" t="n">
        <v>645248</v>
      </c>
      <c r="I58" s="27" t="n">
        <v>0</v>
      </c>
      <c r="J58" s="27" t="n">
        <v>0</v>
      </c>
      <c r="K58" s="27" t="n">
        <v>610</v>
      </c>
      <c r="L58" s="27" t="n">
        <v>34167</v>
      </c>
      <c r="M58" s="27" t="n">
        <v>0</v>
      </c>
      <c r="N58" s="27" t="n">
        <v>0</v>
      </c>
      <c r="O58" s="27" t="n">
        <v>612</v>
      </c>
      <c r="P58" s="27" t="n">
        <v>38865</v>
      </c>
      <c r="Q58" s="27" t="n">
        <v>0</v>
      </c>
      <c r="R58" s="27" t="n">
        <v>0</v>
      </c>
    </row>
    <row r="59" customFormat="false" ht="21" hidden="false" customHeight="true" outlineLevel="0" collapsed="false">
      <c r="A59" s="26" t="n">
        <v>12</v>
      </c>
      <c r="B59" s="26" t="s">
        <v>79</v>
      </c>
      <c r="C59" s="28" t="n">
        <v>1614</v>
      </c>
      <c r="D59" s="28" t="n">
        <v>155241</v>
      </c>
      <c r="E59" s="28" t="n">
        <v>0</v>
      </c>
      <c r="F59" s="28" t="n">
        <v>0</v>
      </c>
      <c r="G59" s="28" t="n">
        <v>1631</v>
      </c>
      <c r="H59" s="28" t="n">
        <v>158565</v>
      </c>
      <c r="I59" s="28" t="n">
        <v>0</v>
      </c>
      <c r="J59" s="28" t="n">
        <v>0</v>
      </c>
      <c r="K59" s="28" t="n">
        <v>268</v>
      </c>
      <c r="L59" s="28" t="n">
        <v>16708</v>
      </c>
      <c r="M59" s="28" t="n">
        <v>0</v>
      </c>
      <c r="N59" s="28" t="n">
        <v>0</v>
      </c>
      <c r="O59" s="28" t="n">
        <v>269</v>
      </c>
      <c r="P59" s="28" t="n">
        <v>19081</v>
      </c>
      <c r="Q59" s="28" t="n">
        <v>0.01</v>
      </c>
      <c r="R59" s="28" t="n">
        <v>0</v>
      </c>
    </row>
    <row r="60" customFormat="false" ht="21" hidden="false" customHeight="true" outlineLevel="0" collapsed="false">
      <c r="A60" s="26" t="n">
        <v>13</v>
      </c>
      <c r="B60" s="26" t="s">
        <v>80</v>
      </c>
      <c r="C60" s="27" t="n">
        <v>213</v>
      </c>
      <c r="D60" s="27" t="n">
        <v>17523</v>
      </c>
      <c r="E60" s="27" t="n">
        <v>0</v>
      </c>
      <c r="F60" s="27" t="n">
        <v>0</v>
      </c>
      <c r="G60" s="27" t="n">
        <v>213</v>
      </c>
      <c r="H60" s="27" t="n">
        <v>16687</v>
      </c>
      <c r="I60" s="27" t="n">
        <v>0</v>
      </c>
      <c r="J60" s="27" t="n">
        <v>0</v>
      </c>
      <c r="K60" s="27" t="n">
        <v>2728</v>
      </c>
      <c r="L60" s="27" t="n">
        <v>30549</v>
      </c>
      <c r="M60" s="27" t="n">
        <v>0</v>
      </c>
      <c r="N60" s="27" t="n">
        <v>0</v>
      </c>
      <c r="O60" s="27" t="n">
        <v>2728</v>
      </c>
      <c r="P60" s="27" t="n">
        <v>31908</v>
      </c>
      <c r="Q60" s="27" t="n">
        <v>0</v>
      </c>
      <c r="R60" s="27" t="n">
        <v>0</v>
      </c>
    </row>
    <row r="61" customFormat="false" ht="21" hidden="false" customHeight="true" outlineLevel="0" collapsed="false">
      <c r="A61" s="26" t="n">
        <v>14</v>
      </c>
      <c r="B61" s="26" t="s">
        <v>47</v>
      </c>
      <c r="C61" s="28" t="n">
        <v>34725</v>
      </c>
      <c r="D61" s="28" t="n">
        <v>4192536</v>
      </c>
      <c r="E61" s="28" t="n">
        <v>72587.15</v>
      </c>
      <c r="F61" s="28" t="n">
        <v>570730</v>
      </c>
      <c r="G61" s="28" t="n">
        <v>34706</v>
      </c>
      <c r="H61" s="28" t="n">
        <v>4460442</v>
      </c>
      <c r="I61" s="28" t="n">
        <v>71280.33</v>
      </c>
      <c r="J61" s="28" t="n">
        <v>904698</v>
      </c>
      <c r="K61" s="28" t="n">
        <v>13306</v>
      </c>
      <c r="L61" s="28" t="n">
        <v>1536885</v>
      </c>
      <c r="M61" s="28" t="n">
        <v>42236.33</v>
      </c>
      <c r="N61" s="28" t="n">
        <v>361582</v>
      </c>
      <c r="O61" s="28" t="n">
        <v>13304</v>
      </c>
      <c r="P61" s="28" t="n">
        <v>1997548</v>
      </c>
      <c r="Q61" s="28" t="n">
        <v>7296.02</v>
      </c>
      <c r="R61" s="28" t="n">
        <v>188670</v>
      </c>
    </row>
    <row r="62" customFormat="false" ht="21" hidden="false" customHeight="true" outlineLevel="0" collapsed="false">
      <c r="A62" s="26" t="n">
        <v>15</v>
      </c>
      <c r="B62" s="26" t="s">
        <v>48</v>
      </c>
      <c r="C62" s="27" t="n">
        <v>5616</v>
      </c>
      <c r="D62" s="27" t="n">
        <v>661885</v>
      </c>
      <c r="E62" s="27" t="s">
        <v>34</v>
      </c>
      <c r="F62" s="27" t="s">
        <v>34</v>
      </c>
      <c r="G62" s="27" t="n">
        <v>5619</v>
      </c>
      <c r="H62" s="27" t="n">
        <v>619579</v>
      </c>
      <c r="I62" s="27" t="s">
        <v>34</v>
      </c>
      <c r="J62" s="27" t="s">
        <v>34</v>
      </c>
      <c r="K62" s="27" t="n">
        <v>3606</v>
      </c>
      <c r="L62" s="27" t="n">
        <v>507404</v>
      </c>
      <c r="M62" s="27" t="s">
        <v>34</v>
      </c>
      <c r="N62" s="27" t="s">
        <v>34</v>
      </c>
      <c r="O62" s="27" t="n">
        <v>3609</v>
      </c>
      <c r="P62" s="27" t="n">
        <v>459037</v>
      </c>
      <c r="Q62" s="27" t="s">
        <v>34</v>
      </c>
      <c r="R62" s="27" t="s">
        <v>34</v>
      </c>
    </row>
    <row r="63" customFormat="false" ht="21" hidden="false" customHeight="true" outlineLevel="0" collapsed="false">
      <c r="A63" s="26" t="n">
        <v>16</v>
      </c>
      <c r="B63" s="26" t="s">
        <v>49</v>
      </c>
      <c r="C63" s="28" t="n">
        <v>26</v>
      </c>
      <c r="D63" s="28" t="n">
        <v>1333</v>
      </c>
      <c r="E63" s="28" t="n">
        <v>0</v>
      </c>
      <c r="F63" s="28" t="n">
        <v>0</v>
      </c>
      <c r="G63" s="28" t="n">
        <v>31</v>
      </c>
      <c r="H63" s="28" t="n">
        <v>1026</v>
      </c>
      <c r="I63" s="28" t="n">
        <v>0</v>
      </c>
      <c r="J63" s="28" t="n">
        <v>0</v>
      </c>
      <c r="K63" s="28" t="n">
        <v>357</v>
      </c>
      <c r="L63" s="28" t="n">
        <v>1606</v>
      </c>
      <c r="M63" s="28" t="n">
        <v>0</v>
      </c>
      <c r="N63" s="28" t="s">
        <v>34</v>
      </c>
      <c r="O63" s="28" t="n">
        <v>353</v>
      </c>
      <c r="P63" s="28" t="n">
        <v>1096</v>
      </c>
      <c r="Q63" s="28" t="n">
        <v>0</v>
      </c>
      <c r="R63" s="28" t="s">
        <v>34</v>
      </c>
    </row>
    <row r="64" customFormat="false" ht="21" hidden="false" customHeight="true" outlineLevel="0" collapsed="false">
      <c r="A64" s="26" t="n">
        <v>17</v>
      </c>
      <c r="B64" s="26" t="s">
        <v>50</v>
      </c>
      <c r="C64" s="27" t="n">
        <v>944</v>
      </c>
      <c r="D64" s="27" t="n">
        <v>88122</v>
      </c>
      <c r="E64" s="27" t="n">
        <v>0</v>
      </c>
      <c r="F64" s="27" t="n">
        <v>0</v>
      </c>
      <c r="G64" s="27" t="n">
        <v>945</v>
      </c>
      <c r="H64" s="27" t="n">
        <v>89565</v>
      </c>
      <c r="I64" s="27" t="n">
        <v>0</v>
      </c>
      <c r="J64" s="27" t="n">
        <v>0</v>
      </c>
      <c r="K64" s="27" t="n">
        <v>236</v>
      </c>
      <c r="L64" s="27" t="n">
        <v>1875</v>
      </c>
      <c r="M64" s="27" t="n">
        <v>0</v>
      </c>
      <c r="N64" s="27" t="s">
        <v>34</v>
      </c>
      <c r="O64" s="27" t="n">
        <v>238</v>
      </c>
      <c r="P64" s="27" t="n">
        <v>2044</v>
      </c>
      <c r="Q64" s="27" t="n">
        <v>0</v>
      </c>
      <c r="R64" s="27" t="s">
        <v>34</v>
      </c>
    </row>
    <row r="65" customFormat="false" ht="21" hidden="false" customHeight="true" outlineLevel="0" collapsed="false">
      <c r="A65" s="26" t="n">
        <v>18</v>
      </c>
      <c r="B65" s="26" t="s">
        <v>51</v>
      </c>
      <c r="C65" s="28" t="n">
        <v>211</v>
      </c>
      <c r="D65" s="28" t="n">
        <v>21198</v>
      </c>
      <c r="E65" s="28" t="n">
        <v>0</v>
      </c>
      <c r="F65" s="28" t="n">
        <v>0</v>
      </c>
      <c r="G65" s="28" t="n">
        <v>211</v>
      </c>
      <c r="H65" s="28" t="n">
        <v>21397</v>
      </c>
      <c r="I65" s="28" t="n">
        <v>0</v>
      </c>
      <c r="J65" s="28" t="n">
        <v>0</v>
      </c>
      <c r="K65" s="28" t="s">
        <v>34</v>
      </c>
      <c r="L65" s="28" t="s">
        <v>34</v>
      </c>
      <c r="M65" s="28" t="s">
        <v>34</v>
      </c>
      <c r="N65" s="28" t="s">
        <v>34</v>
      </c>
      <c r="O65" s="28" t="s">
        <v>34</v>
      </c>
      <c r="P65" s="28" t="s">
        <v>34</v>
      </c>
      <c r="Q65" s="28" t="s">
        <v>34</v>
      </c>
      <c r="R65" s="28" t="s">
        <v>34</v>
      </c>
    </row>
    <row r="66" customFormat="false" ht="21" hidden="false" customHeight="true" outlineLevel="0" collapsed="false">
      <c r="A66" s="26" t="n">
        <v>19</v>
      </c>
      <c r="B66" s="26" t="s">
        <v>52</v>
      </c>
      <c r="C66" s="27" t="n">
        <v>41405</v>
      </c>
      <c r="D66" s="27" t="n">
        <v>4837621</v>
      </c>
      <c r="E66" s="27" t="n">
        <v>55254.43</v>
      </c>
      <c r="F66" s="27" t="n">
        <v>627922</v>
      </c>
      <c r="G66" s="27" t="n">
        <v>41400</v>
      </c>
      <c r="H66" s="27" t="n">
        <v>4690860</v>
      </c>
      <c r="I66" s="27" t="n">
        <v>19700.64</v>
      </c>
      <c r="J66" s="27" t="n">
        <v>1457525</v>
      </c>
      <c r="K66" s="27" t="n">
        <v>10277</v>
      </c>
      <c r="L66" s="27" t="n">
        <v>836431</v>
      </c>
      <c r="M66" s="27" t="n">
        <v>64523.86</v>
      </c>
      <c r="N66" s="27" t="n">
        <v>689777</v>
      </c>
      <c r="O66" s="27" t="n">
        <v>10256</v>
      </c>
      <c r="P66" s="27" t="n">
        <v>1039056</v>
      </c>
      <c r="Q66" s="27" t="n">
        <v>12651.67</v>
      </c>
      <c r="R66" s="27" t="n">
        <v>460791</v>
      </c>
    </row>
    <row r="67" customFormat="false" ht="21" hidden="false" customHeight="true" outlineLevel="0" collapsed="false">
      <c r="A67" s="26" t="n">
        <v>20</v>
      </c>
      <c r="B67" s="26" t="s">
        <v>53</v>
      </c>
      <c r="C67" s="28" t="n">
        <v>550</v>
      </c>
      <c r="D67" s="28" t="n">
        <v>47581</v>
      </c>
      <c r="E67" s="28" t="n">
        <v>0</v>
      </c>
      <c r="F67" s="28" t="n">
        <v>0</v>
      </c>
      <c r="G67" s="28" t="n">
        <v>550</v>
      </c>
      <c r="H67" s="28" t="n">
        <v>47176</v>
      </c>
      <c r="I67" s="28" t="n">
        <v>0</v>
      </c>
      <c r="J67" s="28" t="n">
        <v>0</v>
      </c>
      <c r="K67" s="28" t="n">
        <v>223</v>
      </c>
      <c r="L67" s="28" t="n">
        <v>10443</v>
      </c>
      <c r="M67" s="28" t="s">
        <v>34</v>
      </c>
      <c r="N67" s="28" t="s">
        <v>34</v>
      </c>
      <c r="O67" s="28" t="n">
        <v>223</v>
      </c>
      <c r="P67" s="28" t="n">
        <v>9544</v>
      </c>
      <c r="Q67" s="28" t="s">
        <v>34</v>
      </c>
      <c r="R67" s="28" t="s">
        <v>34</v>
      </c>
    </row>
    <row r="68" customFormat="false" ht="21" hidden="false" customHeight="true" outlineLevel="0" collapsed="false">
      <c r="A68" s="26" t="n">
        <v>21</v>
      </c>
      <c r="B68" s="26" t="s">
        <v>54</v>
      </c>
      <c r="C68" s="27" t="n">
        <v>2074</v>
      </c>
      <c r="D68" s="27" t="n">
        <v>195945</v>
      </c>
      <c r="E68" s="27" t="n">
        <v>0</v>
      </c>
      <c r="F68" s="27" t="n">
        <v>0</v>
      </c>
      <c r="G68" s="27" t="n">
        <v>2075</v>
      </c>
      <c r="H68" s="27" t="n">
        <v>198296</v>
      </c>
      <c r="I68" s="27" t="n">
        <v>0</v>
      </c>
      <c r="J68" s="27" t="n">
        <v>0</v>
      </c>
      <c r="K68" s="27" t="n">
        <v>351</v>
      </c>
      <c r="L68" s="27" t="n">
        <v>34113</v>
      </c>
      <c r="M68" s="27" t="n">
        <v>0</v>
      </c>
      <c r="N68" s="27" t="n">
        <v>0</v>
      </c>
      <c r="O68" s="27" t="n">
        <v>351</v>
      </c>
      <c r="P68" s="27" t="n">
        <v>34948</v>
      </c>
      <c r="Q68" s="27" t="n">
        <v>0</v>
      </c>
      <c r="R68" s="27" t="n">
        <v>0</v>
      </c>
    </row>
    <row r="69" customFormat="false" ht="21" hidden="false" customHeight="true" outlineLevel="0" collapsed="false">
      <c r="A69" s="26" t="n">
        <v>22</v>
      </c>
      <c r="B69" s="26" t="s">
        <v>55</v>
      </c>
      <c r="C69" s="28" t="n">
        <v>219</v>
      </c>
      <c r="D69" s="28" t="n">
        <v>19251</v>
      </c>
      <c r="E69" s="28" t="n">
        <v>0</v>
      </c>
      <c r="F69" s="28" t="n">
        <v>0</v>
      </c>
      <c r="G69" s="28" t="n">
        <v>219</v>
      </c>
      <c r="H69" s="28" t="n">
        <v>19671</v>
      </c>
      <c r="I69" s="28" t="n">
        <v>0</v>
      </c>
      <c r="J69" s="28" t="n">
        <v>0</v>
      </c>
      <c r="K69" s="28" t="n">
        <v>123</v>
      </c>
      <c r="L69" s="28" t="n">
        <v>2154</v>
      </c>
      <c r="M69" s="28" t="n">
        <v>0</v>
      </c>
      <c r="N69" s="28" t="s">
        <v>34</v>
      </c>
      <c r="O69" s="28" t="n">
        <v>123</v>
      </c>
      <c r="P69" s="28" t="n">
        <v>2216</v>
      </c>
      <c r="Q69" s="28" t="n">
        <v>0</v>
      </c>
      <c r="R69" s="28" t="s">
        <v>34</v>
      </c>
    </row>
    <row r="70" customFormat="false" ht="21" hidden="false" customHeight="true" outlineLevel="0" collapsed="false">
      <c r="A70" s="26" t="n">
        <v>23</v>
      </c>
      <c r="B70" s="26" t="s">
        <v>56</v>
      </c>
      <c r="C70" s="27" t="n">
        <v>3584</v>
      </c>
      <c r="D70" s="27" t="n">
        <v>365161</v>
      </c>
      <c r="E70" s="27" t="n">
        <v>0</v>
      </c>
      <c r="F70" s="27" t="n">
        <v>0</v>
      </c>
      <c r="G70" s="27" t="n">
        <v>3750</v>
      </c>
      <c r="H70" s="27" t="n">
        <v>379299</v>
      </c>
      <c r="I70" s="27" t="n">
        <v>0</v>
      </c>
      <c r="J70" s="27" t="n">
        <v>0</v>
      </c>
      <c r="K70" s="27" t="n">
        <v>282</v>
      </c>
      <c r="L70" s="27" t="n">
        <v>18754</v>
      </c>
      <c r="M70" s="27" t="n">
        <v>0</v>
      </c>
      <c r="N70" s="27" t="n">
        <v>0</v>
      </c>
      <c r="O70" s="27" t="n">
        <v>316</v>
      </c>
      <c r="P70" s="27" t="n">
        <v>28161</v>
      </c>
      <c r="Q70" s="27" t="n">
        <v>0</v>
      </c>
      <c r="R70" s="27" t="n">
        <v>0</v>
      </c>
    </row>
    <row r="71" customFormat="false" ht="21" hidden="false" customHeight="true" outlineLevel="0" collapsed="false">
      <c r="A71" s="26" t="n">
        <v>24</v>
      </c>
      <c r="B71" s="26" t="s">
        <v>57</v>
      </c>
      <c r="C71" s="28" t="n">
        <v>295</v>
      </c>
      <c r="D71" s="28" t="n">
        <v>20616</v>
      </c>
      <c r="E71" s="28" t="n">
        <v>0</v>
      </c>
      <c r="F71" s="28" t="n">
        <v>0</v>
      </c>
      <c r="G71" s="28" t="n">
        <v>295</v>
      </c>
      <c r="H71" s="28" t="n">
        <v>20110</v>
      </c>
      <c r="I71" s="28" t="n">
        <v>0</v>
      </c>
      <c r="J71" s="28" t="n">
        <v>0</v>
      </c>
      <c r="K71" s="28" t="n">
        <v>440</v>
      </c>
      <c r="L71" s="28" t="n">
        <v>3986</v>
      </c>
      <c r="M71" s="28" t="n">
        <v>0.01</v>
      </c>
      <c r="N71" s="28" t="s">
        <v>34</v>
      </c>
      <c r="O71" s="28" t="n">
        <v>440</v>
      </c>
      <c r="P71" s="28" t="n">
        <v>4066</v>
      </c>
      <c r="Q71" s="28" t="n">
        <v>0.01</v>
      </c>
      <c r="R71" s="28" t="s">
        <v>34</v>
      </c>
    </row>
    <row r="72" customFormat="false" ht="21" hidden="false" customHeight="true" outlineLevel="0" collapsed="false">
      <c r="A72" s="26" t="n">
        <v>25</v>
      </c>
      <c r="B72" s="26" t="s">
        <v>58</v>
      </c>
      <c r="C72" s="27" t="n">
        <v>528</v>
      </c>
      <c r="D72" s="27" t="n">
        <v>50210</v>
      </c>
      <c r="E72" s="27" t="n">
        <v>0</v>
      </c>
      <c r="F72" s="27" t="n">
        <v>0</v>
      </c>
      <c r="G72" s="27" t="n">
        <v>567</v>
      </c>
      <c r="H72" s="27" t="n">
        <v>51698</v>
      </c>
      <c r="I72" s="27" t="n">
        <v>0</v>
      </c>
      <c r="J72" s="27" t="n">
        <v>0</v>
      </c>
      <c r="K72" s="27" t="n">
        <v>86</v>
      </c>
      <c r="L72" s="27" t="n">
        <v>561</v>
      </c>
      <c r="M72" s="27" t="n">
        <v>0.01</v>
      </c>
      <c r="N72" s="27" t="s">
        <v>34</v>
      </c>
      <c r="O72" s="27" t="n">
        <v>82</v>
      </c>
      <c r="P72" s="27" t="n">
        <v>1311</v>
      </c>
      <c r="Q72" s="27" t="n">
        <v>0.01</v>
      </c>
      <c r="R72" s="27" t="s">
        <v>34</v>
      </c>
    </row>
    <row r="73" customFormat="false" ht="21" hidden="false" customHeight="true" outlineLevel="0" collapsed="false">
      <c r="A73" s="26" t="n">
        <v>26</v>
      </c>
      <c r="B73" s="26" t="s">
        <v>59</v>
      </c>
      <c r="C73" s="28" t="n">
        <v>275</v>
      </c>
      <c r="D73" s="28" t="n">
        <v>25972</v>
      </c>
      <c r="E73" s="28" t="n">
        <v>0</v>
      </c>
      <c r="F73" s="28" t="n">
        <v>0</v>
      </c>
      <c r="G73" s="28" t="n">
        <v>275</v>
      </c>
      <c r="H73" s="28" t="n">
        <v>27005</v>
      </c>
      <c r="I73" s="28" t="n">
        <v>0</v>
      </c>
      <c r="J73" s="28" t="n">
        <v>0</v>
      </c>
      <c r="K73" s="28" t="n">
        <v>149</v>
      </c>
      <c r="L73" s="28" t="n">
        <v>321</v>
      </c>
      <c r="M73" s="28" t="n">
        <v>870.76</v>
      </c>
      <c r="N73" s="28" t="s">
        <v>34</v>
      </c>
      <c r="O73" s="28" t="n">
        <v>149</v>
      </c>
      <c r="P73" s="28" t="n">
        <v>350</v>
      </c>
      <c r="Q73" s="28" t="n">
        <v>903.14</v>
      </c>
      <c r="R73" s="28" t="s">
        <v>34</v>
      </c>
    </row>
    <row r="74" customFormat="false" ht="21" hidden="false" customHeight="true" outlineLevel="0" collapsed="false">
      <c r="A74" s="26" t="n">
        <v>27</v>
      </c>
      <c r="B74" s="26" t="s">
        <v>60</v>
      </c>
      <c r="C74" s="27" t="n">
        <v>908</v>
      </c>
      <c r="D74" s="27" t="n">
        <v>78368</v>
      </c>
      <c r="E74" s="27" t="n">
        <v>0.3</v>
      </c>
      <c r="F74" s="27" t="n">
        <v>0</v>
      </c>
      <c r="G74" s="27" t="n">
        <v>908</v>
      </c>
      <c r="H74" s="27" t="n">
        <v>80142</v>
      </c>
      <c r="I74" s="27" t="n">
        <v>0.01</v>
      </c>
      <c r="J74" s="27" t="n">
        <v>1</v>
      </c>
      <c r="K74" s="27" t="n">
        <v>467</v>
      </c>
      <c r="L74" s="27" t="n">
        <v>42454</v>
      </c>
      <c r="M74" s="27" t="n">
        <v>0</v>
      </c>
      <c r="N74" s="27" t="n">
        <v>0</v>
      </c>
      <c r="O74" s="27" t="n">
        <v>467</v>
      </c>
      <c r="P74" s="27" t="n">
        <v>46252</v>
      </c>
      <c r="Q74" s="27" t="n">
        <v>0</v>
      </c>
      <c r="R74" s="27" t="n">
        <v>0</v>
      </c>
    </row>
    <row r="75" customFormat="false" ht="21" hidden="false" customHeight="true" outlineLevel="0" collapsed="false">
      <c r="A75" s="26" t="n">
        <v>28</v>
      </c>
      <c r="B75" s="26" t="s">
        <v>61</v>
      </c>
      <c r="C75" s="28" t="s">
        <v>34</v>
      </c>
      <c r="D75" s="28" t="s">
        <v>34</v>
      </c>
      <c r="E75" s="28" t="s">
        <v>34</v>
      </c>
      <c r="F75" s="28" t="s">
        <v>34</v>
      </c>
      <c r="G75" s="28" t="s">
        <v>34</v>
      </c>
      <c r="H75" s="28" t="s">
        <v>34</v>
      </c>
      <c r="I75" s="28" t="s">
        <v>34</v>
      </c>
      <c r="J75" s="28" t="s">
        <v>34</v>
      </c>
      <c r="K75" s="28" t="n">
        <v>7</v>
      </c>
      <c r="L75" s="28" t="n">
        <v>19</v>
      </c>
      <c r="M75" s="28" t="n">
        <v>0</v>
      </c>
      <c r="N75" s="28" t="n">
        <v>0</v>
      </c>
      <c r="O75" s="28" t="n">
        <v>6</v>
      </c>
      <c r="P75" s="28" t="n">
        <v>8</v>
      </c>
      <c r="Q75" s="28" t="n">
        <v>0</v>
      </c>
      <c r="R75" s="28" t="n">
        <v>0</v>
      </c>
    </row>
    <row r="76" customFormat="false" ht="21" hidden="false" customHeight="true" outlineLevel="0" collapsed="false">
      <c r="A76" s="29" t="s">
        <v>62</v>
      </c>
      <c r="B76" s="29"/>
      <c r="C76" s="30" t="n">
        <f aca="false">SUM(C48:C75)</f>
        <v>126675</v>
      </c>
      <c r="D76" s="30" t="n">
        <f aca="false">SUM(D48:D75)</f>
        <v>14338560</v>
      </c>
      <c r="E76" s="31" t="n">
        <f aca="false">SUM(E48:E75)</f>
        <v>131812.67</v>
      </c>
      <c r="F76" s="31" t="e">
        <f aca="false">SUM(F48:F75)</f>
        <v>#VALUE!</v>
      </c>
      <c r="G76" s="30" t="n">
        <f aca="false">SUM(G48:G75)</f>
        <v>126884</v>
      </c>
      <c r="H76" s="30" t="n">
        <f aca="false">SUM(H48:H75)</f>
        <v>14468357</v>
      </c>
      <c r="I76" s="32" t="n">
        <f aca="false">SUM(I48:I75)</f>
        <v>92642.44</v>
      </c>
      <c r="J76" s="32" t="n">
        <f aca="false">SUM(J48:J75)</f>
        <v>2451646</v>
      </c>
      <c r="K76" s="30" t="n">
        <f aca="false">SUM(K48:K75)</f>
        <v>46640</v>
      </c>
      <c r="L76" s="30" t="n">
        <f aca="false">SUM(L48:L75)</f>
        <v>3905178</v>
      </c>
      <c r="M76" s="31" t="n">
        <f aca="false">SUM(M48:M75)</f>
        <v>128789.34</v>
      </c>
      <c r="N76" s="31" t="n">
        <f aca="false">SUM(N48:N75)</f>
        <v>1586309</v>
      </c>
      <c r="O76" s="30" t="n">
        <f aca="false">SUM(O48:O75)</f>
        <v>46653</v>
      </c>
      <c r="P76" s="30" t="n">
        <f aca="false">SUM(P48:P75)</f>
        <v>4692405</v>
      </c>
      <c r="Q76" s="32" t="n">
        <f aca="false">SUM(Q48:Q75)</f>
        <v>26012.29</v>
      </c>
      <c r="R76" s="32" t="n">
        <f aca="false">SUM(R48:R75)</f>
        <v>915691</v>
      </c>
    </row>
    <row r="77" customFormat="false" ht="21" hidden="false" customHeight="true" outlineLevel="0" collapsed="false">
      <c r="A77" s="33" t="s">
        <v>81</v>
      </c>
      <c r="B77" s="33"/>
      <c r="C77" s="33"/>
      <c r="D77" s="33"/>
      <c r="E77" s="34"/>
      <c r="F77" s="34"/>
      <c r="G77" s="35"/>
      <c r="H77" s="36"/>
      <c r="I77" s="36"/>
      <c r="J77" s="36"/>
      <c r="K77" s="36"/>
      <c r="L77" s="37"/>
      <c r="M77" s="37"/>
      <c r="N77" s="37"/>
      <c r="O77" s="38"/>
      <c r="P77" s="38"/>
      <c r="Q77" s="38"/>
      <c r="R77" s="38"/>
    </row>
    <row r="78" customFormat="false" ht="21" hidden="false" customHeight="true" outlineLevel="0" collapsed="false">
      <c r="A78" s="39" t="s">
        <v>82</v>
      </c>
      <c r="B78" s="39"/>
      <c r="C78" s="39"/>
      <c r="D78" s="39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1" t="s">
        <v>83</v>
      </c>
    </row>
  </sheetData>
  <mergeCells count="62">
    <mergeCell ref="P1:R1"/>
    <mergeCell ref="B3:C3"/>
    <mergeCell ref="P3:R3"/>
    <mergeCell ref="B4:R4"/>
    <mergeCell ref="B5:E5"/>
    <mergeCell ref="A6:A10"/>
    <mergeCell ref="B6:B10"/>
    <mergeCell ref="C6:J6"/>
    <mergeCell ref="K6:R6"/>
    <mergeCell ref="C7:C10"/>
    <mergeCell ref="D7:F7"/>
    <mergeCell ref="G7:G10"/>
    <mergeCell ref="H7:J7"/>
    <mergeCell ref="K7:K10"/>
    <mergeCell ref="L7:N7"/>
    <mergeCell ref="O7:O10"/>
    <mergeCell ref="P7:R7"/>
    <mergeCell ref="D8:D10"/>
    <mergeCell ref="E8:E10"/>
    <mergeCell ref="F8:F10"/>
    <mergeCell ref="H8:H10"/>
    <mergeCell ref="I8:I10"/>
    <mergeCell ref="J8:J10"/>
    <mergeCell ref="L8:L10"/>
    <mergeCell ref="M8:M10"/>
    <mergeCell ref="N8:N10"/>
    <mergeCell ref="P8:P10"/>
    <mergeCell ref="Q8:Q10"/>
    <mergeCell ref="R8:R10"/>
    <mergeCell ref="A39:B39"/>
    <mergeCell ref="B40:C40"/>
    <mergeCell ref="P40:R40"/>
    <mergeCell ref="B41:R41"/>
    <mergeCell ref="B42:E42"/>
    <mergeCell ref="A43:A47"/>
    <mergeCell ref="B43:B47"/>
    <mergeCell ref="C43:J43"/>
    <mergeCell ref="K43:R43"/>
    <mergeCell ref="C44:C47"/>
    <mergeCell ref="D44:F44"/>
    <mergeCell ref="G44:G47"/>
    <mergeCell ref="H44:J44"/>
    <mergeCell ref="K44:K47"/>
    <mergeCell ref="L44:N44"/>
    <mergeCell ref="O44:O47"/>
    <mergeCell ref="P44:R44"/>
    <mergeCell ref="D45:D47"/>
    <mergeCell ref="E45:E47"/>
    <mergeCell ref="F45:F47"/>
    <mergeCell ref="H45:H47"/>
    <mergeCell ref="I45:I47"/>
    <mergeCell ref="J45:J47"/>
    <mergeCell ref="L45:L47"/>
    <mergeCell ref="M45:M47"/>
    <mergeCell ref="N45:N47"/>
    <mergeCell ref="P45:P47"/>
    <mergeCell ref="Q45:Q47"/>
    <mergeCell ref="R45:R47"/>
    <mergeCell ref="A76:B76"/>
    <mergeCell ref="A77:D77"/>
    <mergeCell ref="O77:R77"/>
    <mergeCell ref="A78:D78"/>
  </mergeCells>
  <hyperlinks>
    <hyperlink ref="R78" location="'Index '!A1" display="Back to index"/>
  </hyperlinks>
  <printOptions headings="true" gridLines="false" gridLinesSet="true" horizontalCentered="false" verticalCentered="false"/>
  <pageMargins left="0.7" right="0.7" top="0.75" bottom="0.75" header="0.511811023622047" footer="0.511811023622047"/>
  <pageSetup paperSize="9" scale="1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8" man="true" max="65535" min="0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false" showRowColHeaders="true" showZeros="true" rightToLeft="false" tabSelected="false" showOutlineSymbols="true" defaultGridColor="true" view="pageBreakPreview" topLeftCell="A1" colorId="64" zoomScale="88" zoomScaleNormal="100" zoomScalePageLayoutView="88" workbookViewId="0">
      <selection pane="topLeft" activeCell="H1" activeCellId="0" sqref="H1"/>
    </sheetView>
  </sheetViews>
  <sheetFormatPr defaultColWidth="9.1015625" defaultRowHeight="13.2" customHeight="false" zeroHeight="false" outlineLevelRow="0" outlineLevelCol="0"/>
  <cols>
    <col collapsed="false" customWidth="false" hidden="false" outlineLevel="0" max="1" min="1" style="7" width="9.1"/>
    <col collapsed="false" customWidth="true" hidden="false" outlineLevel="0" max="2" min="2" style="16" width="20.66"/>
    <col collapsed="false" customWidth="true" hidden="false" outlineLevel="0" max="3" min="3" style="7" width="20.66"/>
    <col collapsed="false" customWidth="true" hidden="false" outlineLevel="0" max="9" min="4" style="7" width="18.66"/>
    <col collapsed="false" customWidth="true" hidden="false" outlineLevel="0" max="10" min="10" style="42" width="14.87"/>
    <col collapsed="false" customWidth="true" hidden="false" outlineLevel="0" max="11" min="11" style="42" width="10.87"/>
    <col collapsed="false" customWidth="false" hidden="false" outlineLevel="0" max="12" min="12" style="42" width="9.1"/>
    <col collapsed="false" customWidth="true" hidden="false" outlineLevel="0" max="13" min="13" style="42" width="11.66"/>
    <col collapsed="false" customWidth="true" hidden="false" outlineLevel="0" max="14" min="14" style="42" width="14.1"/>
    <col collapsed="false" customWidth="true" hidden="false" outlineLevel="0" max="15" min="15" style="42" width="11.43"/>
    <col collapsed="false" customWidth="false" hidden="false" outlineLevel="0" max="16" min="16" style="42" width="9.1"/>
    <col collapsed="false" customWidth="true" hidden="false" outlineLevel="0" max="17" min="17" style="7" width="0.33"/>
    <col collapsed="false" customWidth="false" hidden="true" outlineLevel="0" max="19" min="18" style="7" width="9.1"/>
    <col collapsed="false" customWidth="false" hidden="false" outlineLevel="0" max="257" min="20" style="7" width="9.1"/>
  </cols>
  <sheetData>
    <row r="1" customFormat="false" ht="21" hidden="false" customHeight="true" outlineLevel="0" collapsed="false">
      <c r="H1" s="43" t="s">
        <v>17</v>
      </c>
      <c r="I1" s="43"/>
    </row>
    <row r="2" customFormat="false" ht="21" hidden="false" customHeight="true" outlineLevel="0" collapsed="false"/>
    <row r="3" customFormat="false" ht="21" hidden="false" customHeight="true" outlineLevel="0" collapsed="false">
      <c r="B3" s="18"/>
      <c r="C3" s="18"/>
      <c r="D3" s="18"/>
      <c r="E3" s="18"/>
      <c r="F3" s="18"/>
      <c r="G3" s="18"/>
      <c r="H3" s="18"/>
      <c r="I3" s="18"/>
    </row>
    <row r="4" customFormat="false" ht="54.75" hidden="false" customHeight="true" outlineLevel="0" collapsed="false">
      <c r="A4" s="20" t="s">
        <v>84</v>
      </c>
      <c r="B4" s="20"/>
      <c r="C4" s="20"/>
      <c r="D4" s="20"/>
      <c r="E4" s="20"/>
      <c r="F4" s="20"/>
      <c r="G4" s="20"/>
      <c r="H4" s="20"/>
      <c r="I4" s="20"/>
    </row>
    <row r="5" customFormat="false" ht="21" hidden="false" customHeight="true" outlineLevel="0" collapsed="false">
      <c r="B5" s="21"/>
      <c r="C5" s="21"/>
      <c r="D5" s="21"/>
      <c r="E5" s="21"/>
      <c r="F5" s="5"/>
      <c r="G5" s="5"/>
      <c r="H5" s="5"/>
      <c r="I5" s="22"/>
    </row>
    <row r="6" customFormat="false" ht="21" hidden="false" customHeight="true" outlineLevel="0" collapsed="false">
      <c r="A6" s="44" t="s">
        <v>19</v>
      </c>
      <c r="B6" s="45" t="s">
        <v>85</v>
      </c>
      <c r="C6" s="45"/>
      <c r="D6" s="24" t="s">
        <v>86</v>
      </c>
      <c r="E6" s="24"/>
      <c r="F6" s="24" t="s">
        <v>87</v>
      </c>
      <c r="G6" s="24"/>
      <c r="H6" s="24" t="s">
        <v>88</v>
      </c>
      <c r="I6" s="24"/>
    </row>
    <row r="7" customFormat="false" ht="21" hidden="false" customHeight="true" outlineLevel="0" collapsed="false">
      <c r="A7" s="44"/>
      <c r="B7" s="45"/>
      <c r="C7" s="45"/>
      <c r="D7" s="46" t="s">
        <v>89</v>
      </c>
      <c r="E7" s="46" t="s">
        <v>90</v>
      </c>
      <c r="F7" s="46" t="s">
        <v>89</v>
      </c>
      <c r="G7" s="46" t="s">
        <v>90</v>
      </c>
      <c r="H7" s="46" t="s">
        <v>89</v>
      </c>
      <c r="I7" s="46" t="s">
        <v>90</v>
      </c>
    </row>
    <row r="8" customFormat="false" ht="21" hidden="false" customHeight="true" outlineLevel="0" collapsed="false">
      <c r="A8" s="47" t="n">
        <v>1</v>
      </c>
      <c r="B8" s="45" t="s">
        <v>91</v>
      </c>
      <c r="C8" s="45"/>
      <c r="D8" s="27" t="n">
        <v>337</v>
      </c>
      <c r="E8" s="27" t="n">
        <v>29634</v>
      </c>
      <c r="F8" s="27" t="n">
        <v>24078</v>
      </c>
      <c r="G8" s="27" t="n">
        <v>2550233</v>
      </c>
      <c r="H8" s="27" t="n">
        <f aca="false">D8+F8</f>
        <v>24415</v>
      </c>
      <c r="I8" s="27" t="n">
        <f aca="false">E8+G8</f>
        <v>2579867</v>
      </c>
    </row>
    <row r="9" customFormat="false" ht="21" hidden="false" customHeight="true" outlineLevel="0" collapsed="false">
      <c r="A9" s="47" t="n">
        <v>2</v>
      </c>
      <c r="B9" s="45" t="s">
        <v>36</v>
      </c>
      <c r="C9" s="45"/>
      <c r="D9" s="28" t="n">
        <v>414</v>
      </c>
      <c r="E9" s="28" t="n">
        <v>42198</v>
      </c>
      <c r="F9" s="28" t="n">
        <v>3899</v>
      </c>
      <c r="G9" s="28" t="n">
        <v>351258</v>
      </c>
      <c r="H9" s="28" t="n">
        <f aca="false">D9+F9</f>
        <v>4313</v>
      </c>
      <c r="I9" s="28" t="n">
        <f aca="false">E9+G9</f>
        <v>393456</v>
      </c>
    </row>
    <row r="10" customFormat="false" ht="21" hidden="false" customHeight="true" outlineLevel="0" collapsed="false">
      <c r="A10" s="47" t="n">
        <v>3</v>
      </c>
      <c r="B10" s="45" t="s">
        <v>39</v>
      </c>
      <c r="C10" s="45"/>
      <c r="D10" s="27" t="n">
        <v>19595</v>
      </c>
      <c r="E10" s="27" t="n">
        <v>2175374</v>
      </c>
      <c r="F10" s="27" t="n">
        <v>46365</v>
      </c>
      <c r="G10" s="27" t="n">
        <v>3796294</v>
      </c>
      <c r="H10" s="27" t="n">
        <f aca="false">D10+F10</f>
        <v>65960</v>
      </c>
      <c r="I10" s="27" t="n">
        <f aca="false">E10+G10</f>
        <v>5971668</v>
      </c>
    </row>
    <row r="11" customFormat="false" ht="21" hidden="false" customHeight="true" outlineLevel="0" collapsed="false">
      <c r="A11" s="47" t="n">
        <v>4</v>
      </c>
      <c r="B11" s="45" t="s">
        <v>92</v>
      </c>
      <c r="C11" s="45"/>
      <c r="D11" s="28" t="n">
        <v>1319</v>
      </c>
      <c r="E11" s="28" t="n">
        <v>119680</v>
      </c>
      <c r="F11" s="28" t="n">
        <v>5786</v>
      </c>
      <c r="G11" s="28" t="n">
        <v>482764</v>
      </c>
      <c r="H11" s="28" t="n">
        <f aca="false">D11+F11</f>
        <v>7105</v>
      </c>
      <c r="I11" s="28" t="n">
        <f aca="false">E11+G11</f>
        <v>602444</v>
      </c>
    </row>
    <row r="12" customFormat="false" ht="21" hidden="false" customHeight="true" outlineLevel="0" collapsed="false">
      <c r="A12" s="47" t="n">
        <v>5</v>
      </c>
      <c r="B12" s="45" t="s">
        <v>44</v>
      </c>
      <c r="C12" s="45"/>
      <c r="D12" s="27" t="n">
        <v>130</v>
      </c>
      <c r="E12" s="27" t="n">
        <v>10411</v>
      </c>
      <c r="F12" s="27" t="n">
        <v>19625</v>
      </c>
      <c r="G12" s="27" t="n">
        <v>1723576</v>
      </c>
      <c r="H12" s="27" t="n">
        <f aca="false">D12+F12</f>
        <v>19755</v>
      </c>
      <c r="I12" s="27" t="n">
        <f aca="false">E12+G12</f>
        <v>1733987</v>
      </c>
    </row>
    <row r="13" customFormat="false" ht="21" hidden="false" customHeight="true" outlineLevel="0" collapsed="false">
      <c r="A13" s="47" t="n">
        <v>6</v>
      </c>
      <c r="B13" s="45" t="s">
        <v>93</v>
      </c>
      <c r="C13" s="45"/>
      <c r="D13" s="28" t="n">
        <v>330</v>
      </c>
      <c r="E13" s="28" t="n">
        <v>24766</v>
      </c>
      <c r="F13" s="28" t="n">
        <v>5503</v>
      </c>
      <c r="G13" s="28" t="n">
        <v>450955</v>
      </c>
      <c r="H13" s="28" t="n">
        <f aca="false">D13+F13</f>
        <v>5833</v>
      </c>
      <c r="I13" s="28" t="n">
        <f aca="false">E13+G13</f>
        <v>475721</v>
      </c>
    </row>
    <row r="14" customFormat="false" ht="21" hidden="false" customHeight="true" outlineLevel="0" collapsed="false">
      <c r="A14" s="47" t="n">
        <v>7</v>
      </c>
      <c r="B14" s="45" t="s">
        <v>94</v>
      </c>
      <c r="C14" s="45"/>
      <c r="D14" s="27" t="n">
        <v>33</v>
      </c>
      <c r="E14" s="27" t="n">
        <v>1607</v>
      </c>
      <c r="F14" s="27" t="n">
        <v>5963</v>
      </c>
      <c r="G14" s="27" t="n">
        <v>107437</v>
      </c>
      <c r="H14" s="27" t="n">
        <f aca="false">D14+F14</f>
        <v>5996</v>
      </c>
      <c r="I14" s="27" t="n">
        <f aca="false">E14+G14</f>
        <v>109044</v>
      </c>
    </row>
    <row r="15" customFormat="false" ht="21" hidden="false" customHeight="true" outlineLevel="0" collapsed="false">
      <c r="A15" s="47" t="n">
        <v>8</v>
      </c>
      <c r="B15" s="45" t="s">
        <v>47</v>
      </c>
      <c r="C15" s="45"/>
      <c r="D15" s="28" t="n">
        <v>44578</v>
      </c>
      <c r="E15" s="28" t="n">
        <v>5218486</v>
      </c>
      <c r="F15" s="28" t="n">
        <v>84791</v>
      </c>
      <c r="G15" s="28" t="n">
        <v>8899125</v>
      </c>
      <c r="H15" s="28" t="n">
        <f aca="false">D15+F15</f>
        <v>129369</v>
      </c>
      <c r="I15" s="28" t="n">
        <f aca="false">E15+G15</f>
        <v>14117611</v>
      </c>
    </row>
    <row r="16" customFormat="false" ht="21" hidden="false" customHeight="true" outlineLevel="0" collapsed="false">
      <c r="A16" s="47" t="n">
        <v>9</v>
      </c>
      <c r="B16" s="45" t="s">
        <v>48</v>
      </c>
      <c r="C16" s="45"/>
      <c r="D16" s="27" t="n">
        <v>4456</v>
      </c>
      <c r="E16" s="27" t="n">
        <v>484930</v>
      </c>
      <c r="F16" s="27" t="n">
        <v>15357</v>
      </c>
      <c r="G16" s="27" t="n">
        <v>1273049</v>
      </c>
      <c r="H16" s="27" t="n">
        <f aca="false">D16+F16</f>
        <v>19813</v>
      </c>
      <c r="I16" s="27" t="n">
        <f aca="false">E16+G16</f>
        <v>1757979</v>
      </c>
    </row>
    <row r="17" customFormat="false" ht="21" hidden="false" customHeight="true" outlineLevel="0" collapsed="false">
      <c r="A17" s="47" t="n">
        <v>10</v>
      </c>
      <c r="B17" s="45" t="s">
        <v>95</v>
      </c>
      <c r="C17" s="45"/>
      <c r="D17" s="28" t="n">
        <v>53810</v>
      </c>
      <c r="E17" s="28" t="n">
        <v>5708603</v>
      </c>
      <c r="F17" s="28" t="n">
        <v>109352</v>
      </c>
      <c r="G17" s="28" t="n">
        <v>11137334</v>
      </c>
      <c r="H17" s="28" t="n">
        <f aca="false">D17+F17</f>
        <v>163162</v>
      </c>
      <c r="I17" s="28" t="n">
        <f aca="false">E17+G17</f>
        <v>16845937</v>
      </c>
    </row>
    <row r="18" customFormat="false" ht="21" hidden="false" customHeight="true" outlineLevel="0" collapsed="false">
      <c r="A18" s="47" t="n">
        <v>11</v>
      </c>
      <c r="B18" s="45" t="s">
        <v>54</v>
      </c>
      <c r="C18" s="45"/>
      <c r="D18" s="27" t="n">
        <v>346</v>
      </c>
      <c r="E18" s="27" t="n">
        <v>34979</v>
      </c>
      <c r="F18" s="27" t="n">
        <v>5886</v>
      </c>
      <c r="G18" s="27" t="n">
        <v>535061</v>
      </c>
      <c r="H18" s="27" t="n">
        <f aca="false">D18+F18</f>
        <v>6232</v>
      </c>
      <c r="I18" s="27" t="n">
        <f aca="false">E18+G18</f>
        <v>570040</v>
      </c>
    </row>
    <row r="19" customFormat="false" ht="21" hidden="false" customHeight="true" outlineLevel="0" collapsed="false">
      <c r="A19" s="47" t="n">
        <v>12</v>
      </c>
      <c r="B19" s="45" t="s">
        <v>96</v>
      </c>
      <c r="C19" s="45"/>
      <c r="D19" s="28" t="n">
        <v>452</v>
      </c>
      <c r="E19" s="28" t="n">
        <v>49885</v>
      </c>
      <c r="F19" s="28" t="n">
        <v>11482</v>
      </c>
      <c r="G19" s="28" t="n">
        <v>1057690</v>
      </c>
      <c r="H19" s="28" t="n">
        <f aca="false">D19+F19</f>
        <v>11934</v>
      </c>
      <c r="I19" s="28" t="n">
        <f aca="false">E19+G19</f>
        <v>1107575</v>
      </c>
    </row>
    <row r="20" customFormat="false" ht="21" hidden="false" customHeight="true" outlineLevel="0" collapsed="false">
      <c r="A20" s="47" t="n">
        <v>13</v>
      </c>
      <c r="B20" s="45" t="s">
        <v>57</v>
      </c>
      <c r="C20" s="45"/>
      <c r="D20" s="27" t="n">
        <v>141</v>
      </c>
      <c r="E20" s="27" t="n">
        <v>1297</v>
      </c>
      <c r="F20" s="27" t="n">
        <v>2276</v>
      </c>
      <c r="G20" s="27" t="n">
        <v>77040</v>
      </c>
      <c r="H20" s="27" t="n">
        <f aca="false">D20+F20</f>
        <v>2417</v>
      </c>
      <c r="I20" s="27" t="n">
        <f aca="false">E20+G20</f>
        <v>78337</v>
      </c>
    </row>
    <row r="21" customFormat="false" ht="21" hidden="false" customHeight="true" outlineLevel="0" collapsed="false">
      <c r="A21" s="47" t="n">
        <v>14</v>
      </c>
      <c r="B21" s="45" t="s">
        <v>97</v>
      </c>
      <c r="C21" s="45"/>
      <c r="D21" s="28" t="n">
        <v>247</v>
      </c>
      <c r="E21" s="28" t="n">
        <v>24849</v>
      </c>
      <c r="F21" s="28" t="n">
        <v>3069</v>
      </c>
      <c r="G21" s="28" t="n">
        <v>212180</v>
      </c>
      <c r="H21" s="28" t="n">
        <f aca="false">D21+F21</f>
        <v>3316</v>
      </c>
      <c r="I21" s="28" t="n">
        <f aca="false">E21+G21</f>
        <v>237029</v>
      </c>
    </row>
    <row r="22" customFormat="false" ht="21" hidden="false" customHeight="true" outlineLevel="0" collapsed="false">
      <c r="A22" s="47" t="s">
        <v>88</v>
      </c>
      <c r="B22" s="47"/>
      <c r="C22" s="47"/>
      <c r="D22" s="48" t="n">
        <f aca="false">SUM(D8:D21)</f>
        <v>126188</v>
      </c>
      <c r="E22" s="48" t="n">
        <f aca="false">SUM(E8:E21)</f>
        <v>13926699</v>
      </c>
      <c r="F22" s="48" t="n">
        <f aca="false">SUM(F8:F21)</f>
        <v>343432</v>
      </c>
      <c r="G22" s="48" t="n">
        <f aca="false">SUM(G8:G21)</f>
        <v>32653996</v>
      </c>
      <c r="H22" s="48" t="n">
        <f aca="false">SUM(H8:H21)</f>
        <v>469620</v>
      </c>
      <c r="I22" s="48" t="n">
        <f aca="false">SUM(I8:I21)</f>
        <v>46580695</v>
      </c>
    </row>
    <row r="23" customFormat="false" ht="54.75" hidden="false" customHeight="true" outlineLevel="0" collapsed="false">
      <c r="A23" s="20" t="s">
        <v>98</v>
      </c>
      <c r="B23" s="20"/>
      <c r="C23" s="20"/>
      <c r="D23" s="20"/>
      <c r="E23" s="20"/>
      <c r="F23" s="20"/>
      <c r="G23" s="20"/>
      <c r="H23" s="20"/>
      <c r="I23" s="20"/>
    </row>
    <row r="24" customFormat="false" ht="21" hidden="false" customHeight="true" outlineLevel="0" collapsed="false">
      <c r="B24" s="21"/>
      <c r="C24" s="21"/>
      <c r="D24" s="21"/>
      <c r="E24" s="21"/>
      <c r="F24" s="5"/>
      <c r="G24" s="5"/>
      <c r="H24" s="5"/>
      <c r="I24" s="22"/>
    </row>
    <row r="25" customFormat="false" ht="21" hidden="false" customHeight="true" outlineLevel="0" collapsed="false">
      <c r="A25" s="44" t="s">
        <v>19</v>
      </c>
      <c r="B25" s="45" t="s">
        <v>99</v>
      </c>
      <c r="C25" s="45"/>
      <c r="D25" s="24" t="s">
        <v>86</v>
      </c>
      <c r="E25" s="24"/>
      <c r="F25" s="24" t="s">
        <v>87</v>
      </c>
      <c r="G25" s="24"/>
      <c r="H25" s="24" t="s">
        <v>100</v>
      </c>
      <c r="I25" s="24"/>
    </row>
    <row r="26" customFormat="false" ht="21" hidden="false" customHeight="true" outlineLevel="0" collapsed="false">
      <c r="A26" s="44"/>
      <c r="B26" s="45"/>
      <c r="C26" s="45"/>
      <c r="D26" s="46" t="s">
        <v>89</v>
      </c>
      <c r="E26" s="46" t="s">
        <v>90</v>
      </c>
      <c r="F26" s="46" t="s">
        <v>89</v>
      </c>
      <c r="G26" s="46" t="s">
        <v>90</v>
      </c>
      <c r="H26" s="46" t="s">
        <v>89</v>
      </c>
      <c r="I26" s="46" t="s">
        <v>90</v>
      </c>
    </row>
    <row r="27" customFormat="false" ht="21" hidden="false" customHeight="true" outlineLevel="0" collapsed="false">
      <c r="A27" s="47" t="n">
        <v>1</v>
      </c>
      <c r="B27" s="45" t="s">
        <v>101</v>
      </c>
      <c r="C27" s="45"/>
      <c r="D27" s="27" t="n">
        <v>682</v>
      </c>
      <c r="E27" s="27" t="n">
        <v>86758</v>
      </c>
      <c r="F27" s="27" t="n">
        <v>15594</v>
      </c>
      <c r="G27" s="27" t="n">
        <v>1762738</v>
      </c>
      <c r="H27" s="27" t="n">
        <f aca="false">D27+F27</f>
        <v>16276</v>
      </c>
      <c r="I27" s="27" t="n">
        <f aca="false">E27+G27</f>
        <v>1849496</v>
      </c>
    </row>
    <row r="28" customFormat="false" ht="21" hidden="false" customHeight="true" outlineLevel="0" collapsed="false">
      <c r="A28" s="47" t="n">
        <v>2</v>
      </c>
      <c r="B28" s="45" t="s">
        <v>36</v>
      </c>
      <c r="C28" s="45"/>
      <c r="D28" s="28" t="n">
        <v>363</v>
      </c>
      <c r="E28" s="28" t="n">
        <v>41102</v>
      </c>
      <c r="F28" s="28" t="n">
        <v>2241</v>
      </c>
      <c r="G28" s="28" t="n">
        <v>222048</v>
      </c>
      <c r="H28" s="28" t="n">
        <f aca="false">D28+F28</f>
        <v>2604</v>
      </c>
      <c r="I28" s="28" t="n">
        <f aca="false">E28+G28</f>
        <v>263150</v>
      </c>
    </row>
    <row r="29" customFormat="false" ht="21" hidden="false" customHeight="true" outlineLevel="0" collapsed="false">
      <c r="A29" s="47" t="n">
        <v>3</v>
      </c>
      <c r="B29" s="45" t="s">
        <v>39</v>
      </c>
      <c r="C29" s="45"/>
      <c r="D29" s="27" t="n">
        <v>13866</v>
      </c>
      <c r="E29" s="27" t="n">
        <v>1514342</v>
      </c>
      <c r="F29" s="27" t="n">
        <v>33767</v>
      </c>
      <c r="G29" s="27" t="n">
        <v>2723432</v>
      </c>
      <c r="H29" s="27" t="n">
        <f aca="false">D29+F29</f>
        <v>47633</v>
      </c>
      <c r="I29" s="27" t="n">
        <f aca="false">E29+G29</f>
        <v>4237774</v>
      </c>
    </row>
    <row r="30" customFormat="false" ht="21" hidden="false" customHeight="true" outlineLevel="0" collapsed="false">
      <c r="A30" s="47" t="n">
        <v>4</v>
      </c>
      <c r="B30" s="45" t="s">
        <v>102</v>
      </c>
      <c r="C30" s="45"/>
      <c r="D30" s="28" t="n">
        <v>1656</v>
      </c>
      <c r="E30" s="28" t="n">
        <v>174917</v>
      </c>
      <c r="F30" s="28" t="n">
        <v>3410</v>
      </c>
      <c r="G30" s="28" t="n">
        <v>303028</v>
      </c>
      <c r="H30" s="28" t="n">
        <f aca="false">D30+F30</f>
        <v>5066</v>
      </c>
      <c r="I30" s="28" t="n">
        <f aca="false">E30+G30</f>
        <v>477945</v>
      </c>
    </row>
    <row r="31" customFormat="false" ht="21" hidden="false" customHeight="true" outlineLevel="0" collapsed="false">
      <c r="A31" s="47" t="n">
        <v>5</v>
      </c>
      <c r="B31" s="45" t="s">
        <v>44</v>
      </c>
      <c r="C31" s="45"/>
      <c r="D31" s="27" t="n">
        <v>321</v>
      </c>
      <c r="E31" s="27" t="n">
        <v>37429</v>
      </c>
      <c r="F31" s="27" t="n">
        <v>13178</v>
      </c>
      <c r="G31" s="27" t="n">
        <v>1310208</v>
      </c>
      <c r="H31" s="27" t="n">
        <f aca="false">D31+F31</f>
        <v>13499</v>
      </c>
      <c r="I31" s="27" t="n">
        <f aca="false">E31+G31</f>
        <v>1347637</v>
      </c>
    </row>
    <row r="32" customFormat="false" ht="21" hidden="false" customHeight="true" outlineLevel="0" collapsed="false">
      <c r="A32" s="47" t="n">
        <v>6</v>
      </c>
      <c r="B32" s="45" t="s">
        <v>103</v>
      </c>
      <c r="C32" s="45"/>
      <c r="D32" s="28" t="n">
        <v>356</v>
      </c>
      <c r="E32" s="28" t="n">
        <v>40406</v>
      </c>
      <c r="F32" s="28" t="n">
        <v>3426</v>
      </c>
      <c r="G32" s="28" t="n">
        <v>309189</v>
      </c>
      <c r="H32" s="28" t="n">
        <f aca="false">D32+F32</f>
        <v>3782</v>
      </c>
      <c r="I32" s="28" t="n">
        <f aca="false">E32+G32</f>
        <v>349595</v>
      </c>
    </row>
    <row r="33" customFormat="false" ht="21" hidden="false" customHeight="true" outlineLevel="0" collapsed="false">
      <c r="A33" s="47" t="n">
        <v>7</v>
      </c>
      <c r="B33" s="45" t="s">
        <v>94</v>
      </c>
      <c r="C33" s="45"/>
      <c r="D33" s="27" t="n">
        <v>85</v>
      </c>
      <c r="E33" s="27" t="n">
        <v>3767</v>
      </c>
      <c r="F33" s="27" t="n">
        <v>5797</v>
      </c>
      <c r="G33" s="27" t="n">
        <v>92900</v>
      </c>
      <c r="H33" s="27" t="n">
        <f aca="false">D33+F33</f>
        <v>5882</v>
      </c>
      <c r="I33" s="27" t="n">
        <f aca="false">E33+G33</f>
        <v>96667</v>
      </c>
    </row>
    <row r="34" customFormat="false" ht="21" hidden="false" customHeight="true" outlineLevel="0" collapsed="false">
      <c r="A34" s="47" t="n">
        <v>8</v>
      </c>
      <c r="B34" s="45" t="s">
        <v>47</v>
      </c>
      <c r="C34" s="45"/>
      <c r="D34" s="28" t="n">
        <v>42150</v>
      </c>
      <c r="E34" s="28" t="n">
        <v>6166450</v>
      </c>
      <c r="F34" s="28" t="n">
        <v>53891</v>
      </c>
      <c r="G34" s="28" t="n">
        <v>6020961</v>
      </c>
      <c r="H34" s="28" t="n">
        <f aca="false">D34+F34</f>
        <v>96041</v>
      </c>
      <c r="I34" s="28" t="n">
        <f aca="false">E34+G34</f>
        <v>12187411</v>
      </c>
    </row>
    <row r="35" customFormat="false" ht="21" hidden="false" customHeight="true" outlineLevel="0" collapsed="false">
      <c r="A35" s="47" t="n">
        <v>9</v>
      </c>
      <c r="B35" s="45" t="s">
        <v>48</v>
      </c>
      <c r="C35" s="45"/>
      <c r="D35" s="27" t="n">
        <v>7861</v>
      </c>
      <c r="E35" s="27" t="n">
        <v>1281651</v>
      </c>
      <c r="F35" s="27" t="n">
        <v>10589</v>
      </c>
      <c r="G35" s="27" t="n">
        <v>966254</v>
      </c>
      <c r="H35" s="27" t="n">
        <f aca="false">D35+F35</f>
        <v>18450</v>
      </c>
      <c r="I35" s="27" t="n">
        <f aca="false">E35+G35</f>
        <v>2247905</v>
      </c>
    </row>
    <row r="36" customFormat="false" ht="21" hidden="false" customHeight="true" outlineLevel="0" collapsed="false">
      <c r="A36" s="47" t="n">
        <v>10</v>
      </c>
      <c r="B36" s="45" t="s">
        <v>95</v>
      </c>
      <c r="C36" s="45"/>
      <c r="D36" s="28" t="n">
        <v>35500</v>
      </c>
      <c r="E36" s="28" t="n">
        <v>3785692</v>
      </c>
      <c r="F36" s="28" t="n">
        <v>67838</v>
      </c>
      <c r="G36" s="28" t="n">
        <v>7618276</v>
      </c>
      <c r="H36" s="28" t="n">
        <f aca="false">D36+F36</f>
        <v>103338</v>
      </c>
      <c r="I36" s="28" t="n">
        <f aca="false">E36+G36</f>
        <v>11403968</v>
      </c>
    </row>
    <row r="37" customFormat="false" ht="21" hidden="false" customHeight="true" outlineLevel="0" collapsed="false">
      <c r="A37" s="47" t="n">
        <v>11</v>
      </c>
      <c r="B37" s="45" t="s">
        <v>54</v>
      </c>
      <c r="C37" s="45"/>
      <c r="D37" s="27" t="n">
        <v>725</v>
      </c>
      <c r="E37" s="27" t="n">
        <v>79125</v>
      </c>
      <c r="F37" s="27" t="n">
        <v>4126</v>
      </c>
      <c r="G37" s="27" t="n">
        <v>384177</v>
      </c>
      <c r="H37" s="27" t="n">
        <f aca="false">D37+F37</f>
        <v>4851</v>
      </c>
      <c r="I37" s="27" t="n">
        <f aca="false">E37+G37</f>
        <v>463302</v>
      </c>
    </row>
    <row r="38" customFormat="false" ht="21" hidden="false" customHeight="true" outlineLevel="0" collapsed="false">
      <c r="A38" s="47" t="n">
        <v>12</v>
      </c>
      <c r="B38" s="45" t="s">
        <v>104</v>
      </c>
      <c r="C38" s="45"/>
      <c r="D38" s="28" t="n">
        <v>504</v>
      </c>
      <c r="E38" s="28" t="n">
        <v>51658</v>
      </c>
      <c r="F38" s="28" t="n">
        <v>7428</v>
      </c>
      <c r="G38" s="28" t="n">
        <v>739717</v>
      </c>
      <c r="H38" s="28" t="n">
        <f aca="false">D38+F38</f>
        <v>7932</v>
      </c>
      <c r="I38" s="28" t="n">
        <f aca="false">E38+G38</f>
        <v>791375</v>
      </c>
    </row>
    <row r="39" customFormat="false" ht="21" hidden="false" customHeight="true" outlineLevel="0" collapsed="false">
      <c r="A39" s="47" t="n">
        <v>13</v>
      </c>
      <c r="B39" s="45" t="s">
        <v>57</v>
      </c>
      <c r="C39" s="45"/>
      <c r="D39" s="27" t="n">
        <v>270</v>
      </c>
      <c r="E39" s="27" t="n">
        <v>1987</v>
      </c>
      <c r="F39" s="27" t="n">
        <v>1200</v>
      </c>
      <c r="G39" s="27" t="n">
        <v>46791</v>
      </c>
      <c r="H39" s="27" t="n">
        <f aca="false">D39+F39</f>
        <v>1470</v>
      </c>
      <c r="I39" s="27" t="n">
        <f aca="false">E39+G39</f>
        <v>48778</v>
      </c>
    </row>
    <row r="40" customFormat="false" ht="21" hidden="false" customHeight="true" outlineLevel="0" collapsed="false">
      <c r="A40" s="47" t="n">
        <v>14</v>
      </c>
      <c r="B40" s="45" t="s">
        <v>105</v>
      </c>
      <c r="C40" s="45"/>
      <c r="D40" s="28" t="n">
        <v>603</v>
      </c>
      <c r="E40" s="28" t="n">
        <v>81926</v>
      </c>
      <c r="F40" s="28" t="n">
        <v>2147</v>
      </c>
      <c r="G40" s="28" t="n">
        <v>165290</v>
      </c>
      <c r="H40" s="28" t="n">
        <f aca="false">D40+F40</f>
        <v>2750</v>
      </c>
      <c r="I40" s="28" t="n">
        <f aca="false">E40+G40</f>
        <v>247216</v>
      </c>
    </row>
    <row r="41" customFormat="false" ht="21" hidden="false" customHeight="true" outlineLevel="0" collapsed="false">
      <c r="A41" s="47" t="s">
        <v>100</v>
      </c>
      <c r="B41" s="47"/>
      <c r="C41" s="47"/>
      <c r="D41" s="48" t="n">
        <f aca="false">SUM(D27:D40)</f>
        <v>104942</v>
      </c>
      <c r="E41" s="48" t="n">
        <f aca="false">SUM(E27:E40)</f>
        <v>13347210</v>
      </c>
      <c r="F41" s="48" t="n">
        <f aca="false">SUM(F27:F40)</f>
        <v>224632</v>
      </c>
      <c r="G41" s="48" t="n">
        <f aca="false">SUM(G27:G40)</f>
        <v>22665009</v>
      </c>
      <c r="H41" s="48" t="n">
        <f aca="false">SUM(H27:H40)</f>
        <v>329574</v>
      </c>
      <c r="I41" s="48" t="n">
        <f aca="false">SUM(I27:I40)</f>
        <v>36012219</v>
      </c>
    </row>
    <row r="42" customFormat="false" ht="21" hidden="false" customHeight="true" outlineLevel="0" collapsed="false">
      <c r="A42" s="39" t="s">
        <v>106</v>
      </c>
      <c r="B42" s="39"/>
      <c r="C42" s="39"/>
      <c r="D42" s="39"/>
      <c r="E42" s="34"/>
      <c r="F42" s="34"/>
      <c r="G42" s="35"/>
      <c r="H42" s="41"/>
      <c r="I42" s="41"/>
      <c r="J42" s="37"/>
    </row>
    <row r="43" customFormat="false" ht="21" hidden="false" customHeight="true" outlineLevel="0" collapsed="false">
      <c r="H43" s="49" t="s">
        <v>83</v>
      </c>
    </row>
  </sheetData>
  <mergeCells count="48">
    <mergeCell ref="H1:I1"/>
    <mergeCell ref="B3:I3"/>
    <mergeCell ref="A4:I4"/>
    <mergeCell ref="B5:E5"/>
    <mergeCell ref="A6:A7"/>
    <mergeCell ref="B6:C7"/>
    <mergeCell ref="D6:E6"/>
    <mergeCell ref="F6:G6"/>
    <mergeCell ref="H6:I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2:C22"/>
    <mergeCell ref="A23:I23"/>
    <mergeCell ref="B24:E24"/>
    <mergeCell ref="A25:A26"/>
    <mergeCell ref="B25:C26"/>
    <mergeCell ref="D25:E25"/>
    <mergeCell ref="F25:G25"/>
    <mergeCell ref="H25:I25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A41:C41"/>
    <mergeCell ref="A42:D42"/>
    <mergeCell ref="H42:I42"/>
  </mergeCells>
  <hyperlinks>
    <hyperlink ref="H43" location="Content!A1" display="Back to index"/>
  </hyperlinks>
  <printOptions headings="true" gridLines="false" gridLinesSet="true" horizontalCentered="false" verticalCentered="false"/>
  <pageMargins left="0.7" right="0.7" top="0.75" bottom="0.75" header="0.511811023622047" footer="0.511811023622047"/>
  <pageSetup paperSize="9" scale="1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8"/>
  <sheetViews>
    <sheetView showFormulas="false" showGridLines="false" showRowColHeaders="true" showZeros="true" rightToLeft="false" tabSelected="false" showOutlineSymbols="true" defaultGridColor="true" view="pageBreakPreview" topLeftCell="A1" colorId="64" zoomScale="82" zoomScaleNormal="100" zoomScalePageLayoutView="82" workbookViewId="0">
      <selection pane="topLeft" activeCell="H1" activeCellId="0" sqref="H1"/>
    </sheetView>
  </sheetViews>
  <sheetFormatPr defaultColWidth="9.1015625" defaultRowHeight="19.2" customHeight="false" zeroHeight="false" outlineLevelRow="0" outlineLevelCol="0"/>
  <cols>
    <col collapsed="false" customWidth="false" hidden="false" outlineLevel="0" max="1" min="1" style="4" width="9.1"/>
    <col collapsed="false" customWidth="true" hidden="false" outlineLevel="0" max="2" min="2" style="50" width="20.66"/>
    <col collapsed="false" customWidth="true" hidden="false" outlineLevel="0" max="3" min="3" style="4" width="20.66"/>
    <col collapsed="false" customWidth="true" hidden="false" outlineLevel="0" max="9" min="4" style="4" width="18.66"/>
    <col collapsed="false" customWidth="true" hidden="false" outlineLevel="0" max="10" min="10" style="42" width="14.87"/>
    <col collapsed="false" customWidth="true" hidden="false" outlineLevel="0" max="11" min="11" style="42" width="10.87"/>
    <col collapsed="false" customWidth="false" hidden="false" outlineLevel="0" max="12" min="12" style="42" width="9.1"/>
    <col collapsed="false" customWidth="true" hidden="false" outlineLevel="0" max="13" min="13" style="42" width="11.66"/>
    <col collapsed="false" customWidth="true" hidden="false" outlineLevel="0" max="14" min="14" style="42" width="14.1"/>
    <col collapsed="false" customWidth="true" hidden="false" outlineLevel="0" max="15" min="15" style="42" width="11.43"/>
    <col collapsed="false" customWidth="false" hidden="false" outlineLevel="0" max="16" min="16" style="42" width="9.1"/>
    <col collapsed="false" customWidth="true" hidden="false" outlineLevel="0" max="17" min="17" style="7" width="0.33"/>
    <col collapsed="false" customWidth="false" hidden="true" outlineLevel="0" max="19" min="18" style="7" width="9.1"/>
    <col collapsed="false" customWidth="false" hidden="false" outlineLevel="0" max="257" min="20" style="7" width="9.1"/>
  </cols>
  <sheetData>
    <row r="1" customFormat="false" ht="21" hidden="false" customHeight="true" outlineLevel="0" collapsed="false">
      <c r="H1" s="17" t="s">
        <v>17</v>
      </c>
      <c r="I1" s="17"/>
    </row>
    <row r="2" customFormat="false" ht="21" hidden="false" customHeight="true" outlineLevel="0" collapsed="false"/>
    <row r="3" customFormat="false" ht="21" hidden="false" customHeight="true" outlineLevel="0" collapsed="false">
      <c r="B3" s="17"/>
      <c r="C3" s="17"/>
      <c r="D3" s="51"/>
      <c r="E3" s="52"/>
      <c r="F3" s="51"/>
      <c r="G3" s="51"/>
      <c r="H3" s="51"/>
      <c r="I3" s="53"/>
    </row>
    <row r="4" customFormat="false" ht="54.75" hidden="false" customHeight="true" outlineLevel="0" collapsed="false">
      <c r="A4" s="20" t="s">
        <v>4</v>
      </c>
      <c r="B4" s="20"/>
      <c r="C4" s="20"/>
      <c r="D4" s="20"/>
      <c r="E4" s="20"/>
      <c r="F4" s="20"/>
      <c r="G4" s="20"/>
      <c r="H4" s="20"/>
      <c r="I4" s="20"/>
    </row>
    <row r="5" customFormat="false" ht="21" hidden="false" customHeight="true" outlineLevel="0" collapsed="false">
      <c r="B5" s="54"/>
      <c r="C5" s="55"/>
      <c r="D5" s="55"/>
      <c r="E5" s="55"/>
      <c r="F5" s="55"/>
      <c r="G5" s="55"/>
      <c r="H5" s="56"/>
      <c r="I5" s="56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  <c r="EW5" s="42"/>
      <c r="EX5" s="42"/>
      <c r="EY5" s="42"/>
      <c r="EZ5" s="42"/>
      <c r="FA5" s="42"/>
      <c r="FB5" s="42"/>
      <c r="FC5" s="42"/>
      <c r="FD5" s="42"/>
      <c r="FE5" s="42"/>
      <c r="FF5" s="42"/>
      <c r="FG5" s="42"/>
      <c r="FH5" s="42"/>
      <c r="FI5" s="42"/>
      <c r="FJ5" s="42"/>
      <c r="FK5" s="42"/>
      <c r="FL5" s="42"/>
      <c r="FM5" s="42"/>
      <c r="FN5" s="42"/>
      <c r="FO5" s="42"/>
      <c r="FP5" s="42"/>
      <c r="FQ5" s="42"/>
      <c r="FR5" s="42"/>
      <c r="FS5" s="42"/>
      <c r="FT5" s="42"/>
      <c r="FU5" s="42"/>
      <c r="FV5" s="42"/>
      <c r="FW5" s="42"/>
      <c r="FX5" s="42"/>
      <c r="FY5" s="42"/>
      <c r="FZ5" s="42"/>
      <c r="GA5" s="42"/>
      <c r="GB5" s="42"/>
      <c r="GC5" s="42"/>
      <c r="GD5" s="42"/>
      <c r="GE5" s="42"/>
      <c r="GF5" s="42"/>
      <c r="GG5" s="42"/>
      <c r="GH5" s="42"/>
      <c r="GI5" s="42"/>
      <c r="GJ5" s="42"/>
      <c r="GK5" s="42"/>
      <c r="GL5" s="42"/>
      <c r="GM5" s="42"/>
      <c r="GN5" s="42"/>
      <c r="GO5" s="42"/>
      <c r="GP5" s="42"/>
      <c r="GQ5" s="42"/>
      <c r="GR5" s="42"/>
      <c r="GS5" s="42"/>
      <c r="GT5" s="42"/>
      <c r="GU5" s="42"/>
      <c r="GV5" s="42"/>
      <c r="GW5" s="42"/>
      <c r="GX5" s="42"/>
      <c r="GY5" s="42"/>
      <c r="GZ5" s="42"/>
      <c r="HA5" s="42"/>
      <c r="HB5" s="42"/>
      <c r="HC5" s="42"/>
      <c r="HD5" s="42"/>
      <c r="HE5" s="42"/>
      <c r="HF5" s="42"/>
      <c r="HG5" s="42"/>
      <c r="HH5" s="42"/>
      <c r="HI5" s="42"/>
      <c r="HJ5" s="42"/>
      <c r="HK5" s="42"/>
      <c r="HL5" s="42"/>
      <c r="HM5" s="42"/>
      <c r="HN5" s="42"/>
      <c r="HO5" s="42"/>
      <c r="HP5" s="42"/>
      <c r="HQ5" s="42"/>
      <c r="HR5" s="42"/>
      <c r="HS5" s="42"/>
      <c r="HT5" s="42"/>
      <c r="HU5" s="42"/>
      <c r="HV5" s="42"/>
      <c r="HW5" s="42"/>
      <c r="HX5" s="42"/>
      <c r="HY5" s="42"/>
      <c r="HZ5" s="42"/>
      <c r="IA5" s="42"/>
      <c r="IB5" s="42"/>
      <c r="IC5" s="42"/>
      <c r="ID5" s="42"/>
      <c r="IE5" s="42"/>
      <c r="IF5" s="42"/>
      <c r="IG5" s="42"/>
      <c r="IH5" s="42"/>
      <c r="II5" s="42"/>
      <c r="IJ5" s="42"/>
      <c r="IK5" s="42"/>
      <c r="IL5" s="42"/>
      <c r="IM5" s="42"/>
      <c r="IN5" s="42"/>
      <c r="IO5" s="42"/>
      <c r="IP5" s="42"/>
      <c r="IQ5" s="42"/>
      <c r="IR5" s="42"/>
      <c r="IS5" s="42"/>
      <c r="IT5" s="42"/>
      <c r="IU5" s="42"/>
      <c r="IV5" s="42"/>
      <c r="IW5" s="42"/>
    </row>
    <row r="6" customFormat="false" ht="21" hidden="false" customHeight="true" outlineLevel="0" collapsed="false">
      <c r="A6" s="44" t="s">
        <v>19</v>
      </c>
      <c r="B6" s="45" t="s">
        <v>107</v>
      </c>
      <c r="C6" s="45"/>
      <c r="D6" s="24" t="s">
        <v>86</v>
      </c>
      <c r="E6" s="24"/>
      <c r="F6" s="24" t="s">
        <v>87</v>
      </c>
      <c r="G6" s="24"/>
      <c r="H6" s="24" t="s">
        <v>88</v>
      </c>
      <c r="I6" s="24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  <c r="EY6" s="42"/>
      <c r="EZ6" s="42"/>
      <c r="FA6" s="42"/>
      <c r="FB6" s="42"/>
      <c r="FC6" s="42"/>
      <c r="FD6" s="42"/>
      <c r="FE6" s="42"/>
      <c r="FF6" s="42"/>
      <c r="FG6" s="42"/>
      <c r="FH6" s="42"/>
      <c r="FI6" s="42"/>
      <c r="FJ6" s="42"/>
      <c r="FK6" s="42"/>
      <c r="FL6" s="42"/>
      <c r="FM6" s="42"/>
      <c r="FN6" s="42"/>
      <c r="FO6" s="42"/>
      <c r="FP6" s="42"/>
      <c r="FQ6" s="42"/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</row>
    <row r="7" customFormat="false" ht="21" hidden="false" customHeight="true" outlineLevel="0" collapsed="false">
      <c r="A7" s="44"/>
      <c r="B7" s="45"/>
      <c r="C7" s="45"/>
      <c r="D7" s="57" t="n">
        <v>2020</v>
      </c>
      <c r="E7" s="57" t="n">
        <v>2021</v>
      </c>
      <c r="F7" s="57" t="n">
        <v>2020</v>
      </c>
      <c r="G7" s="57" t="n">
        <v>2021</v>
      </c>
      <c r="H7" s="57" t="n">
        <v>2020</v>
      </c>
      <c r="I7" s="57" t="n">
        <v>2021</v>
      </c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  <c r="EY7" s="42"/>
      <c r="EZ7" s="42"/>
      <c r="FA7" s="42"/>
      <c r="FB7" s="42"/>
      <c r="FC7" s="42"/>
      <c r="FD7" s="42"/>
      <c r="FE7" s="42"/>
      <c r="FF7" s="42"/>
      <c r="FG7" s="42"/>
      <c r="FH7" s="42"/>
      <c r="FI7" s="42"/>
      <c r="FJ7" s="42"/>
      <c r="FK7" s="42"/>
      <c r="FL7" s="42"/>
      <c r="FM7" s="42"/>
      <c r="FN7" s="42"/>
      <c r="FO7" s="42"/>
      <c r="FP7" s="42"/>
      <c r="FQ7" s="42"/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</row>
    <row r="8" customFormat="false" ht="21" hidden="false" customHeight="true" outlineLevel="0" collapsed="false">
      <c r="A8" s="47" t="n">
        <v>1</v>
      </c>
      <c r="B8" s="45" t="s">
        <v>108</v>
      </c>
      <c r="C8" s="45"/>
      <c r="D8" s="58" t="n">
        <v>0</v>
      </c>
      <c r="E8" s="58" t="n">
        <v>0.95</v>
      </c>
      <c r="F8" s="58" t="n">
        <v>0</v>
      </c>
      <c r="G8" s="58" t="n">
        <v>380.37</v>
      </c>
      <c r="H8" s="58" t="n">
        <v>0</v>
      </c>
      <c r="I8" s="58" t="n">
        <f aca="false">E8+G8</f>
        <v>381.32</v>
      </c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  <c r="EY8" s="42"/>
      <c r="EZ8" s="42"/>
      <c r="FA8" s="42"/>
      <c r="FB8" s="42"/>
      <c r="FC8" s="42"/>
      <c r="FD8" s="42"/>
      <c r="FE8" s="42"/>
      <c r="FF8" s="42"/>
      <c r="FG8" s="42"/>
      <c r="FH8" s="42"/>
      <c r="FI8" s="42"/>
      <c r="FJ8" s="42"/>
      <c r="FK8" s="42"/>
      <c r="FL8" s="42"/>
      <c r="FM8" s="42"/>
      <c r="FN8" s="42"/>
      <c r="FO8" s="42"/>
      <c r="FP8" s="42"/>
      <c r="FQ8" s="42"/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</row>
    <row r="9" customFormat="false" ht="21" hidden="false" customHeight="true" outlineLevel="0" collapsed="false">
      <c r="A9" s="47" t="n">
        <v>2</v>
      </c>
      <c r="B9" s="45" t="s">
        <v>36</v>
      </c>
      <c r="C9" s="45"/>
      <c r="D9" s="59" t="n">
        <v>0</v>
      </c>
      <c r="E9" s="59" t="n">
        <v>0</v>
      </c>
      <c r="F9" s="59" t="n">
        <v>0</v>
      </c>
      <c r="G9" s="59" t="n">
        <v>0</v>
      </c>
      <c r="H9" s="59" t="n">
        <v>0</v>
      </c>
      <c r="I9" s="59" t="n">
        <v>0</v>
      </c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  <c r="EY9" s="42"/>
      <c r="EZ9" s="42"/>
      <c r="FA9" s="42"/>
      <c r="FB9" s="42"/>
      <c r="FC9" s="42"/>
      <c r="FD9" s="42"/>
      <c r="FE9" s="42"/>
      <c r="FF9" s="42"/>
      <c r="FG9" s="42"/>
      <c r="FH9" s="42"/>
      <c r="FI9" s="42"/>
      <c r="FJ9" s="42"/>
      <c r="FK9" s="42"/>
      <c r="FL9" s="42"/>
      <c r="FM9" s="42"/>
      <c r="FN9" s="42"/>
      <c r="FO9" s="42"/>
      <c r="FP9" s="42"/>
      <c r="FQ9" s="42"/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</row>
    <row r="10" customFormat="false" ht="21" hidden="false" customHeight="true" outlineLevel="0" collapsed="false">
      <c r="A10" s="47" t="n">
        <v>3</v>
      </c>
      <c r="B10" s="45" t="s">
        <v>39</v>
      </c>
      <c r="C10" s="45"/>
      <c r="D10" s="58" t="n">
        <v>26154.26</v>
      </c>
      <c r="E10" s="58" t="n">
        <v>44523.47</v>
      </c>
      <c r="F10" s="58" t="n">
        <v>5323.74</v>
      </c>
      <c r="G10" s="58" t="n">
        <v>6358.2</v>
      </c>
      <c r="H10" s="58" t="n">
        <f aca="false">D10+F10</f>
        <v>31478</v>
      </c>
      <c r="I10" s="58" t="n">
        <f aca="false">E10+G10</f>
        <v>50881.67</v>
      </c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2"/>
      <c r="FA10" s="42"/>
      <c r="FB10" s="42"/>
      <c r="FC10" s="42"/>
      <c r="FD10" s="42"/>
      <c r="FE10" s="42"/>
      <c r="FF10" s="42"/>
      <c r="FG10" s="42"/>
      <c r="FH10" s="42"/>
      <c r="FI10" s="42"/>
      <c r="FJ10" s="42"/>
      <c r="FK10" s="42"/>
      <c r="FL10" s="42"/>
      <c r="FM10" s="42"/>
      <c r="FN10" s="42"/>
      <c r="FO10" s="42"/>
      <c r="FP10" s="42"/>
      <c r="FQ10" s="42"/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  <c r="IU10" s="42"/>
      <c r="IV10" s="42"/>
      <c r="IW10" s="42"/>
    </row>
    <row r="11" customFormat="false" ht="21" hidden="false" customHeight="true" outlineLevel="0" collapsed="false">
      <c r="A11" s="47" t="n">
        <v>4</v>
      </c>
      <c r="B11" s="45" t="s">
        <v>92</v>
      </c>
      <c r="C11" s="45"/>
      <c r="D11" s="59" t="n">
        <v>0</v>
      </c>
      <c r="E11" s="59" t="n">
        <v>0.24</v>
      </c>
      <c r="F11" s="59" t="n">
        <v>0</v>
      </c>
      <c r="G11" s="59" t="n">
        <v>7.95</v>
      </c>
      <c r="H11" s="59" t="n">
        <v>0</v>
      </c>
      <c r="I11" s="59" t="n">
        <f aca="false">E11+G11</f>
        <v>8.19</v>
      </c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2"/>
      <c r="FG11" s="42"/>
      <c r="FH11" s="42"/>
      <c r="FI11" s="42"/>
      <c r="FJ11" s="42"/>
      <c r="FK11" s="42"/>
      <c r="FL11" s="42"/>
      <c r="FM11" s="42"/>
      <c r="FN11" s="42"/>
      <c r="FO11" s="42"/>
      <c r="FP11" s="42"/>
      <c r="FQ11" s="42"/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2"/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2"/>
      <c r="IR11" s="42"/>
      <c r="IS11" s="42"/>
      <c r="IT11" s="42"/>
      <c r="IU11" s="42"/>
      <c r="IV11" s="42"/>
      <c r="IW11" s="42"/>
    </row>
    <row r="12" customFormat="false" ht="21" hidden="false" customHeight="true" outlineLevel="0" collapsed="false">
      <c r="A12" s="47" t="n">
        <v>5</v>
      </c>
      <c r="B12" s="45" t="s">
        <v>44</v>
      </c>
      <c r="C12" s="45"/>
      <c r="D12" s="58" t="n">
        <v>0</v>
      </c>
      <c r="E12" s="58" t="n">
        <v>0</v>
      </c>
      <c r="F12" s="58" t="n">
        <v>0</v>
      </c>
      <c r="G12" s="58" t="n">
        <v>0</v>
      </c>
      <c r="H12" s="58" t="n">
        <v>0</v>
      </c>
      <c r="I12" s="58" t="n">
        <v>0</v>
      </c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42"/>
      <c r="FH12" s="42"/>
      <c r="FI12" s="42"/>
      <c r="FJ12" s="42"/>
      <c r="FK12" s="42"/>
      <c r="FL12" s="42"/>
      <c r="FM12" s="42"/>
      <c r="FN12" s="42"/>
      <c r="FO12" s="42"/>
      <c r="FP12" s="42"/>
      <c r="FQ12" s="42"/>
      <c r="FR12" s="42"/>
      <c r="FS12" s="42"/>
      <c r="FT12" s="42"/>
      <c r="FU12" s="42"/>
      <c r="FV12" s="42"/>
      <c r="FW12" s="42"/>
      <c r="FX12" s="42"/>
      <c r="FY12" s="42"/>
      <c r="FZ12" s="42"/>
      <c r="GA12" s="42"/>
      <c r="GB12" s="42"/>
      <c r="GC12" s="42"/>
      <c r="GD12" s="42"/>
      <c r="GE12" s="42"/>
      <c r="GF12" s="42"/>
      <c r="GG12" s="42"/>
      <c r="GH12" s="42"/>
      <c r="GI12" s="42"/>
      <c r="GJ12" s="42"/>
      <c r="GK12" s="42"/>
      <c r="GL12" s="42"/>
      <c r="GM12" s="42"/>
      <c r="GN12" s="42"/>
      <c r="GO12" s="42"/>
      <c r="GP12" s="42"/>
      <c r="GQ12" s="42"/>
      <c r="GR12" s="42"/>
      <c r="GS12" s="42"/>
      <c r="GT12" s="42"/>
      <c r="GU12" s="42"/>
      <c r="GV12" s="42"/>
      <c r="GW12" s="42"/>
      <c r="GX12" s="42"/>
      <c r="GY12" s="42"/>
      <c r="GZ12" s="42"/>
      <c r="HA12" s="42"/>
      <c r="HB12" s="42"/>
      <c r="HC12" s="42"/>
      <c r="HD12" s="42"/>
      <c r="HE12" s="42"/>
      <c r="HF12" s="42"/>
      <c r="HG12" s="42"/>
      <c r="HH12" s="42"/>
      <c r="HI12" s="42"/>
      <c r="HJ12" s="42"/>
      <c r="HK12" s="42"/>
      <c r="HL12" s="42"/>
      <c r="HM12" s="42"/>
      <c r="HN12" s="42"/>
      <c r="HO12" s="42"/>
      <c r="HP12" s="42"/>
      <c r="HQ12" s="42"/>
      <c r="HR12" s="42"/>
      <c r="HS12" s="42"/>
      <c r="HT12" s="42"/>
      <c r="HU12" s="42"/>
      <c r="HV12" s="42"/>
      <c r="HW12" s="42"/>
      <c r="HX12" s="42"/>
      <c r="HY12" s="42"/>
      <c r="HZ12" s="42"/>
      <c r="IA12" s="42"/>
      <c r="IB12" s="42"/>
      <c r="IC12" s="42"/>
      <c r="ID12" s="42"/>
      <c r="IE12" s="42"/>
      <c r="IF12" s="42"/>
      <c r="IG12" s="42"/>
      <c r="IH12" s="42"/>
      <c r="II12" s="42"/>
      <c r="IJ12" s="42"/>
      <c r="IK12" s="42"/>
      <c r="IL12" s="42"/>
      <c r="IM12" s="42"/>
      <c r="IN12" s="42"/>
      <c r="IO12" s="42"/>
      <c r="IP12" s="42"/>
      <c r="IQ12" s="42"/>
      <c r="IR12" s="42"/>
      <c r="IS12" s="42"/>
      <c r="IT12" s="42"/>
      <c r="IU12" s="42"/>
      <c r="IV12" s="42"/>
      <c r="IW12" s="42"/>
    </row>
    <row r="13" customFormat="false" ht="21" hidden="false" customHeight="true" outlineLevel="0" collapsed="false">
      <c r="A13" s="47" t="n">
        <v>6</v>
      </c>
      <c r="B13" s="45" t="s">
        <v>93</v>
      </c>
      <c r="C13" s="45"/>
      <c r="D13" s="59" t="n">
        <v>0</v>
      </c>
      <c r="E13" s="59" t="n">
        <v>0</v>
      </c>
      <c r="F13" s="59" t="n">
        <v>0.01</v>
      </c>
      <c r="G13" s="59" t="n">
        <v>0</v>
      </c>
      <c r="H13" s="59" t="n">
        <v>0</v>
      </c>
      <c r="I13" s="59" t="n">
        <v>0</v>
      </c>
      <c r="L13" s="7"/>
      <c r="M13" s="7"/>
      <c r="N13" s="7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42"/>
      <c r="FH13" s="42"/>
      <c r="FI13" s="42"/>
      <c r="FJ13" s="42"/>
      <c r="FK13" s="42"/>
      <c r="FL13" s="42"/>
      <c r="FM13" s="42"/>
      <c r="FN13" s="42"/>
      <c r="FO13" s="42"/>
      <c r="FP13" s="42"/>
      <c r="FQ13" s="42"/>
      <c r="FR13" s="42"/>
      <c r="FS13" s="42"/>
      <c r="FT13" s="42"/>
      <c r="FU13" s="42"/>
      <c r="FV13" s="42"/>
      <c r="FW13" s="42"/>
      <c r="FX13" s="42"/>
      <c r="FY13" s="42"/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42"/>
      <c r="GO13" s="42"/>
      <c r="GP13" s="42"/>
      <c r="GQ13" s="42"/>
      <c r="GR13" s="42"/>
      <c r="GS13" s="42"/>
      <c r="GT13" s="42"/>
      <c r="GU13" s="42"/>
      <c r="GV13" s="42"/>
      <c r="GW13" s="42"/>
      <c r="GX13" s="42"/>
      <c r="GY13" s="42"/>
      <c r="GZ13" s="42"/>
      <c r="HA13" s="42"/>
      <c r="HB13" s="42"/>
      <c r="HC13" s="42"/>
      <c r="HD13" s="42"/>
      <c r="HE13" s="42"/>
      <c r="HF13" s="42"/>
      <c r="HG13" s="42"/>
      <c r="HH13" s="42"/>
      <c r="HI13" s="42"/>
      <c r="HJ13" s="42"/>
      <c r="HK13" s="42"/>
      <c r="HL13" s="42"/>
      <c r="HM13" s="42"/>
      <c r="HN13" s="42"/>
      <c r="HO13" s="42"/>
      <c r="HP13" s="42"/>
      <c r="HQ13" s="42"/>
      <c r="HR13" s="42"/>
      <c r="HS13" s="42"/>
      <c r="HT13" s="42"/>
      <c r="HU13" s="42"/>
      <c r="HV13" s="42"/>
      <c r="HW13" s="42"/>
      <c r="HX13" s="42"/>
      <c r="HY13" s="42"/>
      <c r="HZ13" s="42"/>
      <c r="IA13" s="42"/>
      <c r="IB13" s="42"/>
      <c r="IC13" s="42"/>
      <c r="ID13" s="42"/>
      <c r="IE13" s="42"/>
      <c r="IF13" s="42"/>
      <c r="IG13" s="42"/>
      <c r="IH13" s="42"/>
      <c r="II13" s="42"/>
      <c r="IJ13" s="42"/>
      <c r="IK13" s="42"/>
      <c r="IL13" s="42"/>
      <c r="IM13" s="42"/>
      <c r="IN13" s="42"/>
      <c r="IO13" s="42"/>
      <c r="IP13" s="42"/>
      <c r="IQ13" s="42"/>
      <c r="IR13" s="42"/>
      <c r="IS13" s="42"/>
      <c r="IT13" s="42"/>
      <c r="IU13" s="42"/>
      <c r="IV13" s="42"/>
      <c r="IW13" s="42"/>
    </row>
    <row r="14" customFormat="false" ht="21" hidden="false" customHeight="true" outlineLevel="0" collapsed="false">
      <c r="A14" s="47" t="n">
        <v>7</v>
      </c>
      <c r="B14" s="45" t="s">
        <v>94</v>
      </c>
      <c r="C14" s="45"/>
      <c r="D14" s="58" t="n">
        <v>0</v>
      </c>
      <c r="E14" s="58" t="n">
        <v>0</v>
      </c>
      <c r="F14" s="58" t="n">
        <v>0</v>
      </c>
      <c r="G14" s="58" t="n">
        <v>0</v>
      </c>
      <c r="H14" s="58" t="n">
        <v>0</v>
      </c>
      <c r="I14" s="58" t="n">
        <v>0</v>
      </c>
      <c r="L14" s="7"/>
      <c r="M14" s="7"/>
      <c r="N14" s="7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2"/>
      <c r="FH14" s="42"/>
      <c r="FI14" s="42"/>
      <c r="FJ14" s="42"/>
      <c r="FK14" s="42"/>
      <c r="FL14" s="42"/>
      <c r="FM14" s="42"/>
      <c r="FN14" s="42"/>
      <c r="FO14" s="42"/>
      <c r="FP14" s="42"/>
      <c r="FQ14" s="42"/>
      <c r="FR14" s="42"/>
      <c r="FS14" s="42"/>
      <c r="FT14" s="42"/>
      <c r="FU14" s="42"/>
      <c r="FV14" s="42"/>
      <c r="FW14" s="42"/>
      <c r="FX14" s="42"/>
      <c r="FY14" s="42"/>
      <c r="FZ14" s="42"/>
      <c r="GA14" s="42"/>
      <c r="GB14" s="42"/>
      <c r="GC14" s="42"/>
      <c r="GD14" s="42"/>
      <c r="GE14" s="42"/>
      <c r="GF14" s="42"/>
      <c r="GG14" s="42"/>
      <c r="GH14" s="42"/>
      <c r="GI14" s="42"/>
      <c r="GJ14" s="42"/>
      <c r="GK14" s="42"/>
      <c r="GL14" s="42"/>
      <c r="GM14" s="42"/>
      <c r="GN14" s="42"/>
      <c r="GO14" s="42"/>
      <c r="GP14" s="42"/>
      <c r="GQ14" s="42"/>
      <c r="GR14" s="42"/>
      <c r="GS14" s="42"/>
      <c r="GT14" s="42"/>
      <c r="GU14" s="42"/>
      <c r="GV14" s="42"/>
      <c r="GW14" s="42"/>
      <c r="GX14" s="42"/>
      <c r="GY14" s="42"/>
      <c r="GZ14" s="42"/>
      <c r="HA14" s="42"/>
      <c r="HB14" s="42"/>
      <c r="HC14" s="42"/>
      <c r="HD14" s="42"/>
      <c r="HE14" s="42"/>
      <c r="HF14" s="42"/>
      <c r="HG14" s="42"/>
      <c r="HH14" s="42"/>
      <c r="HI14" s="42"/>
      <c r="HJ14" s="42"/>
      <c r="HK14" s="42"/>
      <c r="HL14" s="42"/>
      <c r="HM14" s="42"/>
      <c r="HN14" s="42"/>
      <c r="HO14" s="42"/>
      <c r="HP14" s="42"/>
      <c r="HQ14" s="42"/>
      <c r="HR14" s="42"/>
      <c r="HS14" s="42"/>
      <c r="HT14" s="42"/>
      <c r="HU14" s="42"/>
      <c r="HV14" s="42"/>
      <c r="HW14" s="42"/>
      <c r="HX14" s="42"/>
      <c r="HY14" s="42"/>
      <c r="HZ14" s="42"/>
      <c r="IA14" s="42"/>
      <c r="IB14" s="42"/>
      <c r="IC14" s="42"/>
      <c r="ID14" s="42"/>
      <c r="IE14" s="42"/>
      <c r="IF14" s="42"/>
      <c r="IG14" s="42"/>
      <c r="IH14" s="42"/>
      <c r="II14" s="42"/>
      <c r="IJ14" s="42"/>
      <c r="IK14" s="42"/>
      <c r="IL14" s="42"/>
      <c r="IM14" s="42"/>
      <c r="IN14" s="42"/>
      <c r="IO14" s="42"/>
      <c r="IP14" s="42"/>
      <c r="IQ14" s="42"/>
      <c r="IR14" s="42"/>
      <c r="IS14" s="42"/>
      <c r="IT14" s="42"/>
      <c r="IU14" s="42"/>
      <c r="IV14" s="42"/>
      <c r="IW14" s="42"/>
    </row>
    <row r="15" customFormat="false" ht="21" hidden="false" customHeight="true" outlineLevel="0" collapsed="false">
      <c r="A15" s="47" t="n">
        <v>8</v>
      </c>
      <c r="B15" s="45" t="s">
        <v>47</v>
      </c>
      <c r="C15" s="45"/>
      <c r="D15" s="59" t="n">
        <v>168885.76</v>
      </c>
      <c r="E15" s="59" t="n">
        <v>179761.69</v>
      </c>
      <c r="F15" s="59" t="n">
        <v>24514.07</v>
      </c>
      <c r="G15" s="59" t="n">
        <v>36522.43</v>
      </c>
      <c r="H15" s="59" t="n">
        <f aca="false">D15+F15</f>
        <v>193399.83</v>
      </c>
      <c r="I15" s="59" t="n">
        <f aca="false">E15+G15</f>
        <v>216284.12</v>
      </c>
      <c r="L15" s="7"/>
      <c r="M15" s="7"/>
      <c r="N15" s="7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2"/>
      <c r="EO15" s="42"/>
      <c r="EP15" s="42"/>
      <c r="EQ15" s="42"/>
      <c r="ER15" s="42"/>
      <c r="ES15" s="42"/>
      <c r="ET15" s="42"/>
      <c r="EU15" s="42"/>
      <c r="EV15" s="42"/>
      <c r="EW15" s="42"/>
      <c r="EX15" s="42"/>
      <c r="EY15" s="42"/>
      <c r="EZ15" s="42"/>
      <c r="FA15" s="42"/>
      <c r="FB15" s="42"/>
      <c r="FC15" s="42"/>
      <c r="FD15" s="42"/>
      <c r="FE15" s="42"/>
      <c r="FF15" s="42"/>
      <c r="FG15" s="42"/>
      <c r="FH15" s="42"/>
      <c r="FI15" s="42"/>
      <c r="FJ15" s="42"/>
      <c r="FK15" s="42"/>
      <c r="FL15" s="42"/>
      <c r="FM15" s="42"/>
      <c r="FN15" s="42"/>
      <c r="FO15" s="42"/>
      <c r="FP15" s="42"/>
      <c r="FQ15" s="42"/>
      <c r="FR15" s="42"/>
      <c r="FS15" s="42"/>
      <c r="FT15" s="42"/>
      <c r="FU15" s="42"/>
      <c r="FV15" s="42"/>
      <c r="FW15" s="42"/>
      <c r="FX15" s="42"/>
      <c r="FY15" s="42"/>
      <c r="FZ15" s="42"/>
      <c r="GA15" s="42"/>
      <c r="GB15" s="42"/>
      <c r="GC15" s="42"/>
      <c r="GD15" s="42"/>
      <c r="GE15" s="42"/>
      <c r="GF15" s="42"/>
      <c r="GG15" s="42"/>
      <c r="GH15" s="42"/>
      <c r="GI15" s="42"/>
      <c r="GJ15" s="42"/>
      <c r="GK15" s="42"/>
      <c r="GL15" s="42"/>
      <c r="GM15" s="42"/>
      <c r="GN15" s="42"/>
      <c r="GO15" s="42"/>
      <c r="GP15" s="42"/>
      <c r="GQ15" s="42"/>
      <c r="GR15" s="42"/>
      <c r="GS15" s="42"/>
      <c r="GT15" s="42"/>
      <c r="GU15" s="42"/>
      <c r="GV15" s="42"/>
      <c r="GW15" s="42"/>
      <c r="GX15" s="42"/>
      <c r="GY15" s="42"/>
      <c r="GZ15" s="42"/>
      <c r="HA15" s="42"/>
      <c r="HB15" s="42"/>
      <c r="HC15" s="42"/>
      <c r="HD15" s="42"/>
      <c r="HE15" s="42"/>
      <c r="HF15" s="42"/>
      <c r="HG15" s="42"/>
      <c r="HH15" s="42"/>
      <c r="HI15" s="42"/>
      <c r="HJ15" s="42"/>
      <c r="HK15" s="42"/>
      <c r="HL15" s="42"/>
      <c r="HM15" s="42"/>
      <c r="HN15" s="42"/>
      <c r="HO15" s="42"/>
      <c r="HP15" s="42"/>
      <c r="HQ15" s="42"/>
      <c r="HR15" s="42"/>
      <c r="HS15" s="42"/>
      <c r="HT15" s="42"/>
      <c r="HU15" s="42"/>
      <c r="HV15" s="42"/>
      <c r="HW15" s="42"/>
      <c r="HX15" s="42"/>
      <c r="HY15" s="42"/>
      <c r="HZ15" s="42"/>
      <c r="IA15" s="42"/>
      <c r="IB15" s="42"/>
      <c r="IC15" s="42"/>
      <c r="ID15" s="42"/>
      <c r="IE15" s="42"/>
      <c r="IF15" s="42"/>
      <c r="IG15" s="42"/>
      <c r="IH15" s="42"/>
      <c r="II15" s="42"/>
      <c r="IJ15" s="42"/>
      <c r="IK15" s="42"/>
      <c r="IL15" s="42"/>
      <c r="IM15" s="42"/>
      <c r="IN15" s="42"/>
      <c r="IO15" s="42"/>
      <c r="IP15" s="42"/>
      <c r="IQ15" s="42"/>
      <c r="IR15" s="42"/>
      <c r="IS15" s="42"/>
      <c r="IT15" s="42"/>
      <c r="IU15" s="42"/>
      <c r="IV15" s="42"/>
      <c r="IW15" s="42"/>
    </row>
    <row r="16" customFormat="false" ht="21" hidden="false" customHeight="true" outlineLevel="0" collapsed="false">
      <c r="A16" s="47" t="n">
        <v>9</v>
      </c>
      <c r="B16" s="45" t="s">
        <v>48</v>
      </c>
      <c r="C16" s="45"/>
      <c r="D16" s="58" t="n">
        <v>0</v>
      </c>
      <c r="E16" s="58" t="n">
        <v>0</v>
      </c>
      <c r="F16" s="58" t="n">
        <v>0</v>
      </c>
      <c r="G16" s="58" t="n">
        <v>0</v>
      </c>
      <c r="H16" s="58" t="n">
        <v>0</v>
      </c>
      <c r="I16" s="58" t="n">
        <v>0</v>
      </c>
      <c r="L16" s="7"/>
      <c r="M16" s="7"/>
      <c r="N16" s="7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2"/>
      <c r="DX16" s="42"/>
      <c r="DY16" s="42"/>
      <c r="DZ16" s="42"/>
      <c r="EA16" s="42"/>
      <c r="EB16" s="42"/>
      <c r="EC16" s="42"/>
      <c r="ED16" s="42"/>
      <c r="EE16" s="42"/>
      <c r="EF16" s="42"/>
      <c r="EG16" s="42"/>
      <c r="EH16" s="42"/>
      <c r="EI16" s="42"/>
      <c r="EJ16" s="42"/>
      <c r="EK16" s="42"/>
      <c r="EL16" s="42"/>
      <c r="EM16" s="42"/>
      <c r="EN16" s="42"/>
      <c r="EO16" s="42"/>
      <c r="EP16" s="42"/>
      <c r="EQ16" s="42"/>
      <c r="ER16" s="42"/>
      <c r="ES16" s="42"/>
      <c r="ET16" s="42"/>
      <c r="EU16" s="42"/>
      <c r="EV16" s="42"/>
      <c r="EW16" s="42"/>
      <c r="EX16" s="42"/>
      <c r="EY16" s="42"/>
      <c r="EZ16" s="42"/>
      <c r="FA16" s="42"/>
      <c r="FB16" s="42"/>
      <c r="FC16" s="42"/>
      <c r="FD16" s="42"/>
      <c r="FE16" s="42"/>
      <c r="FF16" s="42"/>
      <c r="FG16" s="42"/>
      <c r="FH16" s="42"/>
      <c r="FI16" s="42"/>
      <c r="FJ16" s="42"/>
      <c r="FK16" s="42"/>
      <c r="FL16" s="42"/>
      <c r="FM16" s="42"/>
      <c r="FN16" s="42"/>
      <c r="FO16" s="42"/>
      <c r="FP16" s="42"/>
      <c r="FQ16" s="42"/>
      <c r="FR16" s="42"/>
      <c r="FS16" s="42"/>
      <c r="FT16" s="42"/>
      <c r="FU16" s="42"/>
      <c r="FV16" s="42"/>
      <c r="FW16" s="42"/>
      <c r="FX16" s="42"/>
      <c r="FY16" s="42"/>
      <c r="FZ16" s="42"/>
      <c r="GA16" s="42"/>
      <c r="GB16" s="42"/>
      <c r="GC16" s="42"/>
      <c r="GD16" s="42"/>
      <c r="GE16" s="42"/>
      <c r="GF16" s="42"/>
      <c r="GG16" s="42"/>
      <c r="GH16" s="42"/>
      <c r="GI16" s="42"/>
      <c r="GJ16" s="42"/>
      <c r="GK16" s="42"/>
      <c r="GL16" s="42"/>
      <c r="GM16" s="42"/>
      <c r="GN16" s="42"/>
      <c r="GO16" s="42"/>
      <c r="GP16" s="42"/>
      <c r="GQ16" s="42"/>
      <c r="GR16" s="42"/>
      <c r="GS16" s="42"/>
      <c r="GT16" s="42"/>
      <c r="GU16" s="42"/>
      <c r="GV16" s="42"/>
      <c r="GW16" s="42"/>
      <c r="GX16" s="42"/>
      <c r="GY16" s="42"/>
      <c r="GZ16" s="42"/>
      <c r="HA16" s="42"/>
      <c r="HB16" s="42"/>
      <c r="HC16" s="42"/>
      <c r="HD16" s="42"/>
      <c r="HE16" s="42"/>
      <c r="HF16" s="42"/>
      <c r="HG16" s="42"/>
      <c r="HH16" s="42"/>
      <c r="HI16" s="42"/>
      <c r="HJ16" s="42"/>
      <c r="HK16" s="42"/>
      <c r="HL16" s="42"/>
      <c r="HM16" s="42"/>
      <c r="HN16" s="42"/>
      <c r="HO16" s="42"/>
      <c r="HP16" s="42"/>
      <c r="HQ16" s="42"/>
      <c r="HR16" s="42"/>
      <c r="HS16" s="42"/>
      <c r="HT16" s="42"/>
      <c r="HU16" s="42"/>
      <c r="HV16" s="42"/>
      <c r="HW16" s="42"/>
      <c r="HX16" s="42"/>
      <c r="HY16" s="42"/>
      <c r="HZ16" s="42"/>
      <c r="IA16" s="42"/>
      <c r="IB16" s="42"/>
      <c r="IC16" s="42"/>
      <c r="ID16" s="42"/>
      <c r="IE16" s="42"/>
      <c r="IF16" s="42"/>
      <c r="IG16" s="42"/>
      <c r="IH16" s="42"/>
      <c r="II16" s="42"/>
      <c r="IJ16" s="42"/>
      <c r="IK16" s="42"/>
      <c r="IL16" s="42"/>
      <c r="IM16" s="42"/>
      <c r="IN16" s="42"/>
      <c r="IO16" s="42"/>
      <c r="IP16" s="42"/>
      <c r="IQ16" s="42"/>
      <c r="IR16" s="42"/>
      <c r="IS16" s="42"/>
      <c r="IT16" s="42"/>
      <c r="IU16" s="42"/>
      <c r="IV16" s="42"/>
      <c r="IW16" s="42"/>
    </row>
    <row r="17" customFormat="false" ht="21" hidden="false" customHeight="true" outlineLevel="0" collapsed="false">
      <c r="A17" s="47" t="n">
        <v>10</v>
      </c>
      <c r="B17" s="45" t="s">
        <v>95</v>
      </c>
      <c r="C17" s="45"/>
      <c r="D17" s="59" t="n">
        <v>133068.22</v>
      </c>
      <c r="E17" s="59" t="n">
        <v>276683.83</v>
      </c>
      <c r="F17" s="59" t="n">
        <v>19062.38</v>
      </c>
      <c r="G17" s="59" t="n">
        <v>35364.54</v>
      </c>
      <c r="H17" s="59" t="n">
        <f aca="false">D17+F17</f>
        <v>152130.6</v>
      </c>
      <c r="I17" s="59" t="n">
        <f aca="false">E17+G17</f>
        <v>312048.37</v>
      </c>
      <c r="L17" s="7"/>
      <c r="M17" s="7"/>
      <c r="N17" s="7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  <c r="EO17" s="42"/>
      <c r="EP17" s="42"/>
      <c r="EQ17" s="42"/>
      <c r="ER17" s="42"/>
      <c r="ES17" s="42"/>
      <c r="ET17" s="42"/>
      <c r="EU17" s="42"/>
      <c r="EV17" s="42"/>
      <c r="EW17" s="42"/>
      <c r="EX17" s="42"/>
      <c r="EY17" s="42"/>
      <c r="EZ17" s="42"/>
      <c r="FA17" s="42"/>
      <c r="FB17" s="42"/>
      <c r="FC17" s="42"/>
      <c r="FD17" s="42"/>
      <c r="FE17" s="42"/>
      <c r="FF17" s="42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/>
      <c r="GL17" s="42"/>
      <c r="GM17" s="42"/>
      <c r="GN17" s="42"/>
      <c r="GO17" s="42"/>
      <c r="GP17" s="42"/>
      <c r="GQ17" s="42"/>
      <c r="GR17" s="42"/>
      <c r="GS17" s="42"/>
      <c r="GT17" s="42"/>
      <c r="GU17" s="42"/>
      <c r="GV17" s="42"/>
      <c r="GW17" s="42"/>
      <c r="GX17" s="42"/>
      <c r="GY17" s="42"/>
      <c r="GZ17" s="42"/>
      <c r="HA17" s="42"/>
      <c r="HB17" s="42"/>
      <c r="HC17" s="42"/>
      <c r="HD17" s="42"/>
      <c r="HE17" s="42"/>
      <c r="HF17" s="42"/>
      <c r="HG17" s="42"/>
      <c r="HH17" s="42"/>
      <c r="HI17" s="42"/>
      <c r="HJ17" s="42"/>
      <c r="HK17" s="42"/>
      <c r="HL17" s="42"/>
      <c r="HM17" s="42"/>
      <c r="HN17" s="42"/>
      <c r="HO17" s="42"/>
      <c r="HP17" s="42"/>
      <c r="HQ17" s="42"/>
      <c r="HR17" s="42"/>
      <c r="HS17" s="42"/>
      <c r="HT17" s="42"/>
      <c r="HU17" s="42"/>
      <c r="HV17" s="42"/>
      <c r="HW17" s="42"/>
      <c r="HX17" s="42"/>
      <c r="HY17" s="42"/>
      <c r="HZ17" s="42"/>
      <c r="IA17" s="42"/>
      <c r="IB17" s="42"/>
      <c r="IC17" s="42"/>
      <c r="ID17" s="42"/>
      <c r="IE17" s="42"/>
      <c r="IF17" s="42"/>
      <c r="IG17" s="42"/>
      <c r="IH17" s="42"/>
      <c r="II17" s="42"/>
      <c r="IJ17" s="42"/>
      <c r="IK17" s="42"/>
      <c r="IL17" s="42"/>
      <c r="IM17" s="42"/>
      <c r="IN17" s="42"/>
      <c r="IO17" s="42"/>
      <c r="IP17" s="42"/>
      <c r="IQ17" s="42"/>
      <c r="IR17" s="42"/>
      <c r="IS17" s="42"/>
      <c r="IT17" s="42"/>
      <c r="IU17" s="42"/>
      <c r="IV17" s="42"/>
      <c r="IW17" s="42"/>
    </row>
    <row r="18" customFormat="false" ht="21" hidden="false" customHeight="true" outlineLevel="0" collapsed="false">
      <c r="A18" s="47" t="n">
        <v>11</v>
      </c>
      <c r="B18" s="45" t="s">
        <v>54</v>
      </c>
      <c r="C18" s="45"/>
      <c r="D18" s="58" t="n">
        <v>0</v>
      </c>
      <c r="E18" s="58" t="n">
        <v>0</v>
      </c>
      <c r="F18" s="58" t="n">
        <v>0</v>
      </c>
      <c r="G18" s="58" t="n">
        <v>4.86</v>
      </c>
      <c r="H18" s="58" t="n">
        <v>0</v>
      </c>
      <c r="I18" s="58" t="n">
        <v>0</v>
      </c>
      <c r="L18" s="7"/>
      <c r="M18" s="7"/>
      <c r="N18" s="7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 s="42"/>
      <c r="DT18" s="42"/>
      <c r="DU18" s="42"/>
      <c r="DV18" s="42"/>
      <c r="DW18" s="42"/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/>
      <c r="EN18" s="42"/>
      <c r="EO18" s="42"/>
      <c r="EP18" s="42"/>
      <c r="EQ18" s="42"/>
      <c r="ER18" s="42"/>
      <c r="ES18" s="42"/>
      <c r="ET18" s="42"/>
      <c r="EU18" s="42"/>
      <c r="EV18" s="42"/>
      <c r="EW18" s="42"/>
      <c r="EX18" s="42"/>
      <c r="EY18" s="42"/>
      <c r="EZ18" s="42"/>
      <c r="FA18" s="42"/>
      <c r="FB18" s="42"/>
      <c r="FC18" s="42"/>
      <c r="FD18" s="42"/>
      <c r="FE18" s="42"/>
      <c r="FF18" s="42"/>
      <c r="FG18" s="42"/>
      <c r="FH18" s="42"/>
      <c r="FI18" s="42"/>
      <c r="FJ18" s="42"/>
      <c r="FK18" s="42"/>
      <c r="FL18" s="42"/>
      <c r="FM18" s="42"/>
      <c r="FN18" s="42"/>
      <c r="FO18" s="42"/>
      <c r="FP18" s="42"/>
      <c r="FQ18" s="42"/>
      <c r="FR18" s="42"/>
      <c r="FS18" s="42"/>
      <c r="FT18" s="42"/>
      <c r="FU18" s="42"/>
      <c r="FV18" s="42"/>
      <c r="FW18" s="42"/>
      <c r="FX18" s="42"/>
      <c r="FY18" s="42"/>
      <c r="FZ18" s="42"/>
      <c r="GA18" s="42"/>
      <c r="GB18" s="42"/>
      <c r="GC18" s="42"/>
      <c r="GD18" s="42"/>
      <c r="GE18" s="42"/>
      <c r="GF18" s="42"/>
      <c r="GG18" s="42"/>
      <c r="GH18" s="42"/>
      <c r="GI18" s="42"/>
      <c r="GJ18" s="42"/>
      <c r="GK18" s="42"/>
      <c r="GL18" s="42"/>
      <c r="GM18" s="42"/>
      <c r="GN18" s="42"/>
      <c r="GO18" s="42"/>
      <c r="GP18" s="42"/>
      <c r="GQ18" s="42"/>
      <c r="GR18" s="42"/>
      <c r="GS18" s="42"/>
      <c r="GT18" s="42"/>
      <c r="GU18" s="42"/>
      <c r="GV18" s="42"/>
      <c r="GW18" s="42"/>
      <c r="GX18" s="42"/>
      <c r="GY18" s="42"/>
      <c r="GZ18" s="42"/>
      <c r="HA18" s="42"/>
      <c r="HB18" s="42"/>
      <c r="HC18" s="42"/>
      <c r="HD18" s="42"/>
      <c r="HE18" s="42"/>
      <c r="HF18" s="42"/>
      <c r="HG18" s="42"/>
      <c r="HH18" s="42"/>
      <c r="HI18" s="42"/>
      <c r="HJ18" s="42"/>
      <c r="HK18" s="42"/>
      <c r="HL18" s="42"/>
      <c r="HM18" s="42"/>
      <c r="HN18" s="42"/>
      <c r="HO18" s="42"/>
      <c r="HP18" s="42"/>
      <c r="HQ18" s="42"/>
      <c r="HR18" s="42"/>
      <c r="HS18" s="42"/>
      <c r="HT18" s="42"/>
      <c r="HU18" s="42"/>
      <c r="HV18" s="42"/>
      <c r="HW18" s="42"/>
      <c r="HX18" s="42"/>
      <c r="HY18" s="42"/>
      <c r="HZ18" s="42"/>
      <c r="IA18" s="42"/>
      <c r="IB18" s="42"/>
      <c r="IC18" s="42"/>
      <c r="ID18" s="42"/>
      <c r="IE18" s="42"/>
      <c r="IF18" s="42"/>
      <c r="IG18" s="42"/>
      <c r="IH18" s="42"/>
      <c r="II18" s="42"/>
      <c r="IJ18" s="42"/>
      <c r="IK18" s="42"/>
      <c r="IL18" s="42"/>
      <c r="IM18" s="42"/>
      <c r="IN18" s="42"/>
      <c r="IO18" s="42"/>
      <c r="IP18" s="42"/>
      <c r="IQ18" s="42"/>
      <c r="IR18" s="42"/>
      <c r="IS18" s="42"/>
      <c r="IT18" s="42"/>
      <c r="IU18" s="42"/>
      <c r="IV18" s="42"/>
      <c r="IW18" s="42"/>
    </row>
    <row r="19" customFormat="false" ht="21" hidden="false" customHeight="true" outlineLevel="0" collapsed="false">
      <c r="A19" s="47" t="n">
        <v>12</v>
      </c>
      <c r="B19" s="45" t="s">
        <v>96</v>
      </c>
      <c r="C19" s="45"/>
      <c r="D19" s="59" t="n">
        <v>0</v>
      </c>
      <c r="E19" s="59" t="n">
        <v>0</v>
      </c>
      <c r="F19" s="59" t="n">
        <v>0</v>
      </c>
      <c r="G19" s="59" t="n">
        <v>0</v>
      </c>
      <c r="H19" s="59" t="n">
        <v>0</v>
      </c>
      <c r="I19" s="59" t="n">
        <v>0</v>
      </c>
      <c r="L19" s="7"/>
      <c r="M19" s="7"/>
      <c r="N19" s="7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/>
      <c r="DI19" s="42"/>
      <c r="DJ19" s="42"/>
      <c r="DK19" s="42"/>
      <c r="DL19" s="42"/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42"/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42"/>
      <c r="FH19" s="42"/>
      <c r="FI19" s="42"/>
      <c r="FJ19" s="42"/>
      <c r="FK19" s="42"/>
      <c r="FL19" s="42"/>
      <c r="FM19" s="42"/>
      <c r="FN19" s="42"/>
      <c r="FO19" s="42"/>
      <c r="FP19" s="42"/>
      <c r="FQ19" s="42"/>
      <c r="FR19" s="42"/>
      <c r="FS19" s="42"/>
      <c r="FT19" s="42"/>
      <c r="FU19" s="42"/>
      <c r="FV19" s="42"/>
      <c r="FW19" s="42"/>
      <c r="FX19" s="42"/>
      <c r="FY19" s="42"/>
      <c r="FZ19" s="42"/>
      <c r="GA19" s="42"/>
      <c r="GB19" s="42"/>
      <c r="GC19" s="42"/>
      <c r="GD19" s="42"/>
      <c r="GE19" s="42"/>
      <c r="GF19" s="42"/>
      <c r="GG19" s="42"/>
      <c r="GH19" s="42"/>
      <c r="GI19" s="42"/>
      <c r="GJ19" s="42"/>
      <c r="GK19" s="42"/>
      <c r="GL19" s="42"/>
      <c r="GM19" s="42"/>
      <c r="GN19" s="42"/>
      <c r="GO19" s="42"/>
      <c r="GP19" s="42"/>
      <c r="GQ19" s="42"/>
      <c r="GR19" s="42"/>
      <c r="GS19" s="42"/>
      <c r="GT19" s="42"/>
      <c r="GU19" s="42"/>
      <c r="GV19" s="42"/>
      <c r="GW19" s="42"/>
      <c r="GX19" s="42"/>
      <c r="GY19" s="42"/>
      <c r="GZ19" s="42"/>
      <c r="HA19" s="42"/>
      <c r="HB19" s="42"/>
      <c r="HC19" s="42"/>
      <c r="HD19" s="42"/>
      <c r="HE19" s="42"/>
      <c r="HF19" s="42"/>
      <c r="HG19" s="42"/>
      <c r="HH19" s="42"/>
      <c r="HI19" s="42"/>
      <c r="HJ19" s="42"/>
      <c r="HK19" s="42"/>
      <c r="HL19" s="42"/>
      <c r="HM19" s="42"/>
      <c r="HN19" s="42"/>
      <c r="HO19" s="42"/>
      <c r="HP19" s="42"/>
      <c r="HQ19" s="42"/>
      <c r="HR19" s="42"/>
      <c r="HS19" s="42"/>
      <c r="HT19" s="42"/>
      <c r="HU19" s="42"/>
      <c r="HV19" s="42"/>
      <c r="HW19" s="42"/>
      <c r="HX19" s="42"/>
      <c r="HY19" s="42"/>
      <c r="HZ19" s="42"/>
      <c r="IA19" s="42"/>
      <c r="IB19" s="42"/>
      <c r="IC19" s="42"/>
      <c r="ID19" s="42"/>
      <c r="IE19" s="42"/>
      <c r="IF19" s="42"/>
      <c r="IG19" s="42"/>
      <c r="IH19" s="42"/>
      <c r="II19" s="42"/>
      <c r="IJ19" s="42"/>
      <c r="IK19" s="42"/>
      <c r="IL19" s="42"/>
      <c r="IM19" s="42"/>
      <c r="IN19" s="42"/>
      <c r="IO19" s="42"/>
      <c r="IP19" s="42"/>
      <c r="IQ19" s="42"/>
      <c r="IR19" s="42"/>
      <c r="IS19" s="42"/>
      <c r="IT19" s="42"/>
      <c r="IU19" s="42"/>
      <c r="IV19" s="42"/>
      <c r="IW19" s="42"/>
    </row>
    <row r="20" customFormat="false" ht="21" hidden="false" customHeight="true" outlineLevel="0" collapsed="false">
      <c r="A20" s="47" t="n">
        <v>13</v>
      </c>
      <c r="B20" s="45" t="s">
        <v>57</v>
      </c>
      <c r="C20" s="45"/>
      <c r="D20" s="58" t="n">
        <v>0</v>
      </c>
      <c r="E20" s="58" t="n">
        <v>0</v>
      </c>
      <c r="F20" s="58" t="n">
        <v>0.02</v>
      </c>
      <c r="G20" s="58" t="n">
        <v>0</v>
      </c>
      <c r="H20" s="58" t="n">
        <v>0</v>
      </c>
      <c r="I20" s="58" t="n">
        <v>0</v>
      </c>
      <c r="L20" s="7"/>
      <c r="M20" s="7"/>
      <c r="N20" s="7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2"/>
      <c r="EE20" s="42"/>
      <c r="EF20" s="42"/>
      <c r="EG20" s="42"/>
      <c r="EH20" s="42"/>
      <c r="EI20" s="42"/>
      <c r="EJ20" s="42"/>
      <c r="EK20" s="42"/>
      <c r="EL20" s="42"/>
      <c r="EM20" s="42"/>
      <c r="EN20" s="42"/>
      <c r="EO20" s="42"/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2"/>
      <c r="FA20" s="42"/>
      <c r="FB20" s="42"/>
      <c r="FC20" s="42"/>
      <c r="FD20" s="42"/>
      <c r="FE20" s="42"/>
      <c r="FF20" s="42"/>
      <c r="FG20" s="42"/>
      <c r="FH20" s="42"/>
      <c r="FI20" s="42"/>
      <c r="FJ20" s="42"/>
      <c r="FK20" s="42"/>
      <c r="FL20" s="42"/>
      <c r="FM20" s="42"/>
      <c r="FN20" s="42"/>
      <c r="FO20" s="42"/>
      <c r="FP20" s="42"/>
      <c r="FQ20" s="42"/>
      <c r="FR20" s="42"/>
      <c r="FS20" s="42"/>
      <c r="FT20" s="42"/>
      <c r="FU20" s="42"/>
      <c r="FV20" s="42"/>
      <c r="FW20" s="42"/>
      <c r="FX20" s="42"/>
      <c r="FY20" s="42"/>
      <c r="FZ20" s="42"/>
      <c r="GA20" s="42"/>
      <c r="GB20" s="42"/>
      <c r="GC20" s="42"/>
      <c r="GD20" s="42"/>
      <c r="GE20" s="42"/>
      <c r="GF20" s="42"/>
      <c r="GG20" s="42"/>
      <c r="GH20" s="42"/>
      <c r="GI20" s="42"/>
      <c r="GJ20" s="42"/>
      <c r="GK20" s="42"/>
      <c r="GL20" s="42"/>
      <c r="GM20" s="42"/>
      <c r="GN20" s="42"/>
      <c r="GO20" s="42"/>
      <c r="GP20" s="42"/>
      <c r="GQ20" s="42"/>
      <c r="GR20" s="42"/>
      <c r="GS20" s="42"/>
      <c r="GT20" s="42"/>
      <c r="GU20" s="42"/>
      <c r="GV20" s="42"/>
      <c r="GW20" s="42"/>
      <c r="GX20" s="42"/>
      <c r="GY20" s="42"/>
      <c r="GZ20" s="42"/>
      <c r="HA20" s="42"/>
      <c r="HB20" s="42"/>
      <c r="HC20" s="42"/>
      <c r="HD20" s="42"/>
      <c r="HE20" s="42"/>
      <c r="HF20" s="42"/>
      <c r="HG20" s="42"/>
      <c r="HH20" s="42"/>
      <c r="HI20" s="42"/>
      <c r="HJ20" s="42"/>
      <c r="HK20" s="42"/>
      <c r="HL20" s="42"/>
      <c r="HM20" s="42"/>
      <c r="HN20" s="42"/>
      <c r="HO20" s="42"/>
      <c r="HP20" s="42"/>
      <c r="HQ20" s="42"/>
      <c r="HR20" s="42"/>
      <c r="HS20" s="42"/>
      <c r="HT20" s="42"/>
      <c r="HU20" s="42"/>
      <c r="HV20" s="42"/>
      <c r="HW20" s="42"/>
      <c r="HX20" s="42"/>
      <c r="HY20" s="42"/>
      <c r="HZ20" s="42"/>
      <c r="IA20" s="42"/>
      <c r="IB20" s="42"/>
      <c r="IC20" s="42"/>
      <c r="ID20" s="42"/>
      <c r="IE20" s="42"/>
      <c r="IF20" s="42"/>
      <c r="IG20" s="42"/>
      <c r="IH20" s="42"/>
      <c r="II20" s="42"/>
      <c r="IJ20" s="42"/>
      <c r="IK20" s="42"/>
      <c r="IL20" s="42"/>
      <c r="IM20" s="42"/>
      <c r="IN20" s="42"/>
      <c r="IO20" s="42"/>
      <c r="IP20" s="42"/>
      <c r="IQ20" s="42"/>
      <c r="IR20" s="42"/>
      <c r="IS20" s="42"/>
      <c r="IT20" s="42"/>
      <c r="IU20" s="42"/>
      <c r="IV20" s="42"/>
      <c r="IW20" s="42"/>
    </row>
    <row r="21" customFormat="false" ht="21" hidden="false" customHeight="true" outlineLevel="0" collapsed="false">
      <c r="A21" s="47" t="n">
        <v>14</v>
      </c>
      <c r="B21" s="45" t="s">
        <v>97</v>
      </c>
      <c r="C21" s="45"/>
      <c r="D21" s="59" t="n">
        <v>0</v>
      </c>
      <c r="E21" s="59" t="n">
        <v>0</v>
      </c>
      <c r="F21" s="59" t="n">
        <v>0.31</v>
      </c>
      <c r="G21" s="59" t="n">
        <v>0.5</v>
      </c>
      <c r="H21" s="59" t="n">
        <v>0</v>
      </c>
      <c r="I21" s="59" t="n">
        <f aca="false">E21+G21</f>
        <v>0.5</v>
      </c>
    </row>
    <row r="22" customFormat="false" ht="21" hidden="false" customHeight="true" outlineLevel="0" collapsed="false">
      <c r="A22" s="47" t="s">
        <v>88</v>
      </c>
      <c r="B22" s="47"/>
      <c r="C22" s="47"/>
      <c r="D22" s="60" t="n">
        <f aca="false">SUM(D8:D21)</f>
        <v>328108.24</v>
      </c>
      <c r="E22" s="60" t="n">
        <f aca="false">SUM(E8:E21)</f>
        <v>500970.18</v>
      </c>
      <c r="F22" s="60" t="n">
        <f aca="false">SUM(F8:F21)</f>
        <v>48900.53</v>
      </c>
      <c r="G22" s="60" t="n">
        <f aca="false">SUM(G8:G21)</f>
        <v>78638.85</v>
      </c>
      <c r="H22" s="60" t="n">
        <f aca="false">SUM(H8:H21)</f>
        <v>377008.43</v>
      </c>
      <c r="I22" s="60" t="n">
        <f aca="false">SUM(I8:I21)</f>
        <v>579604.17</v>
      </c>
    </row>
    <row r="23" customFormat="false" ht="21" hidden="false" customHeight="true" outlineLevel="0" collapsed="false">
      <c r="A23" s="39" t="s">
        <v>106</v>
      </c>
      <c r="B23" s="39"/>
      <c r="C23" s="39"/>
      <c r="D23" s="39"/>
      <c r="E23" s="61"/>
      <c r="F23" s="61"/>
      <c r="G23" s="62"/>
      <c r="H23" s="63"/>
      <c r="I23" s="63"/>
      <c r="L23" s="7"/>
      <c r="M23" s="7"/>
      <c r="N23" s="7"/>
      <c r="O23" s="7"/>
      <c r="P23" s="7"/>
    </row>
    <row r="24" customFormat="false" ht="21" hidden="false" customHeight="true" outlineLevel="0" collapsed="false">
      <c r="A24" s="39" t="s">
        <v>82</v>
      </c>
      <c r="B24" s="39"/>
      <c r="C24" s="39"/>
      <c r="D24" s="39"/>
      <c r="E24" s="64"/>
      <c r="F24" s="64"/>
      <c r="G24" s="64"/>
      <c r="H24" s="41" t="s">
        <v>83</v>
      </c>
      <c r="I24" s="41"/>
      <c r="L24" s="7"/>
      <c r="M24" s="7"/>
      <c r="N24" s="7"/>
      <c r="O24" s="7"/>
      <c r="P24" s="7"/>
    </row>
    <row r="25" customFormat="false" ht="19.2" hidden="false" customHeight="false" outlineLevel="0" collapsed="false">
      <c r="A25" s="64"/>
      <c r="L25" s="7"/>
      <c r="M25" s="7"/>
      <c r="N25" s="7"/>
      <c r="O25" s="7"/>
      <c r="P25" s="7"/>
    </row>
    <row r="26" customFormat="false" ht="19.2" hidden="false" customHeight="false" outlineLevel="0" collapsed="false">
      <c r="A26" s="64"/>
      <c r="L26" s="7"/>
      <c r="M26" s="7"/>
      <c r="N26" s="7"/>
      <c r="O26" s="7"/>
      <c r="P26" s="7"/>
    </row>
    <row r="27" customFormat="false" ht="19.2" hidden="false" customHeight="false" outlineLevel="0" collapsed="false">
      <c r="A27" s="64"/>
      <c r="L27" s="7"/>
      <c r="M27" s="7"/>
      <c r="N27" s="7"/>
      <c r="O27" s="7"/>
      <c r="P27" s="7"/>
    </row>
    <row r="28" customFormat="false" ht="19.2" hidden="false" customHeight="false" outlineLevel="0" collapsed="false">
      <c r="A28" s="64"/>
    </row>
  </sheetData>
  <mergeCells count="28">
    <mergeCell ref="H1:I1"/>
    <mergeCell ref="B3:C3"/>
    <mergeCell ref="A4:I4"/>
    <mergeCell ref="H5:I5"/>
    <mergeCell ref="A6:A7"/>
    <mergeCell ref="B6:C7"/>
    <mergeCell ref="D6:E6"/>
    <mergeCell ref="F6:G6"/>
    <mergeCell ref="H6:I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2:C22"/>
    <mergeCell ref="A23:D23"/>
    <mergeCell ref="H23:I23"/>
    <mergeCell ref="A24:D24"/>
    <mergeCell ref="H24:I24"/>
  </mergeCells>
  <hyperlinks>
    <hyperlink ref="H24" location="'Index '!A1" display="Back to index"/>
  </hyperlinks>
  <printOptions headings="true" gridLines="false" gridLinesSet="true" horizontalCentered="false" verticalCentered="false"/>
  <pageMargins left="0.7" right="0.7" top="0.75" bottom="0.75" header="0.511811023622047" footer="0.511811023622047"/>
  <pageSetup paperSize="9" scale="1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8"/>
  <sheetViews>
    <sheetView showFormulas="false" showGridLines="false" showRowColHeaders="true" showZeros="true" rightToLeft="false" tabSelected="false" showOutlineSymbols="true" defaultGridColor="true" view="pageBreakPreview" topLeftCell="A1" colorId="64" zoomScale="82" zoomScaleNormal="100" zoomScalePageLayoutView="82" workbookViewId="0">
      <selection pane="topLeft" activeCell="F1" activeCellId="0" sqref="F1"/>
    </sheetView>
  </sheetViews>
  <sheetFormatPr defaultColWidth="9.1015625" defaultRowHeight="19.2" customHeight="false" zeroHeight="false" outlineLevelRow="0" outlineLevelCol="0"/>
  <cols>
    <col collapsed="false" customWidth="false" hidden="false" outlineLevel="0" max="1" min="1" style="4" width="9.1"/>
    <col collapsed="false" customWidth="true" hidden="false" outlineLevel="0" max="2" min="2" style="50" width="20.66"/>
    <col collapsed="false" customWidth="true" hidden="false" outlineLevel="0" max="3" min="3" style="4" width="20.66"/>
    <col collapsed="false" customWidth="true" hidden="false" outlineLevel="0" max="7" min="4" style="4" width="18.66"/>
    <col collapsed="false" customWidth="true" hidden="false" outlineLevel="0" max="8" min="8" style="42" width="14.87"/>
    <col collapsed="false" customWidth="true" hidden="false" outlineLevel="0" max="9" min="9" style="42" width="10.87"/>
    <col collapsed="false" customWidth="false" hidden="false" outlineLevel="0" max="10" min="10" style="42" width="9.1"/>
    <col collapsed="false" customWidth="true" hidden="false" outlineLevel="0" max="11" min="11" style="42" width="11.66"/>
    <col collapsed="false" customWidth="true" hidden="false" outlineLevel="0" max="12" min="12" style="42" width="14.1"/>
    <col collapsed="false" customWidth="true" hidden="false" outlineLevel="0" max="13" min="13" style="42" width="11.43"/>
    <col collapsed="false" customWidth="false" hidden="false" outlineLevel="0" max="14" min="14" style="42" width="9.1"/>
    <col collapsed="false" customWidth="true" hidden="false" outlineLevel="0" max="15" min="15" style="7" width="0.33"/>
    <col collapsed="false" customWidth="false" hidden="true" outlineLevel="0" max="17" min="16" style="7" width="9.1"/>
    <col collapsed="false" customWidth="false" hidden="false" outlineLevel="0" max="257" min="18" style="7" width="9.1"/>
  </cols>
  <sheetData>
    <row r="1" customFormat="false" ht="21" hidden="false" customHeight="true" outlineLevel="0" collapsed="false">
      <c r="F1" s="17" t="s">
        <v>17</v>
      </c>
      <c r="G1" s="17"/>
    </row>
    <row r="2" customFormat="false" ht="21" hidden="false" customHeight="true" outlineLevel="0" collapsed="false"/>
    <row r="3" customFormat="false" ht="21" hidden="false" customHeight="true" outlineLevel="0" collapsed="false">
      <c r="B3" s="17"/>
      <c r="C3" s="17"/>
      <c r="D3" s="51"/>
      <c r="E3" s="52"/>
      <c r="F3" s="51"/>
      <c r="G3" s="51"/>
    </row>
    <row r="4" customFormat="false" ht="54.75" hidden="false" customHeight="true" outlineLevel="0" collapsed="false">
      <c r="B4" s="65" t="s">
        <v>5</v>
      </c>
      <c r="C4" s="65"/>
      <c r="D4" s="65"/>
      <c r="E4" s="65"/>
      <c r="F4" s="65"/>
      <c r="G4" s="65"/>
    </row>
    <row r="5" customFormat="false" ht="21" hidden="false" customHeight="true" outlineLevel="0" collapsed="false">
      <c r="B5" s="54"/>
      <c r="C5" s="55"/>
      <c r="D5" s="55"/>
      <c r="E5" s="55"/>
      <c r="F5" s="55"/>
      <c r="G5" s="55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  <c r="EW5" s="42"/>
      <c r="EX5" s="42"/>
      <c r="EY5" s="42"/>
      <c r="EZ5" s="42"/>
      <c r="FA5" s="42"/>
      <c r="FB5" s="42"/>
      <c r="FC5" s="42"/>
      <c r="FD5" s="42"/>
      <c r="FE5" s="42"/>
      <c r="FF5" s="42"/>
      <c r="FG5" s="42"/>
      <c r="FH5" s="42"/>
      <c r="FI5" s="42"/>
      <c r="FJ5" s="42"/>
      <c r="FK5" s="42"/>
      <c r="FL5" s="42"/>
      <c r="FM5" s="42"/>
      <c r="FN5" s="42"/>
      <c r="FO5" s="42"/>
      <c r="FP5" s="42"/>
      <c r="FQ5" s="42"/>
      <c r="FR5" s="42"/>
      <c r="FS5" s="42"/>
      <c r="FT5" s="42"/>
      <c r="FU5" s="42"/>
      <c r="FV5" s="42"/>
      <c r="FW5" s="42"/>
      <c r="FX5" s="42"/>
      <c r="FY5" s="42"/>
      <c r="FZ5" s="42"/>
      <c r="GA5" s="42"/>
      <c r="GB5" s="42"/>
      <c r="GC5" s="42"/>
      <c r="GD5" s="42"/>
      <c r="GE5" s="42"/>
      <c r="GF5" s="42"/>
      <c r="GG5" s="42"/>
      <c r="GH5" s="42"/>
      <c r="GI5" s="42"/>
      <c r="GJ5" s="42"/>
      <c r="GK5" s="42"/>
      <c r="GL5" s="42"/>
      <c r="GM5" s="42"/>
      <c r="GN5" s="42"/>
      <c r="GO5" s="42"/>
      <c r="GP5" s="42"/>
      <c r="GQ5" s="42"/>
      <c r="GR5" s="42"/>
      <c r="GS5" s="42"/>
      <c r="GT5" s="42"/>
      <c r="GU5" s="42"/>
      <c r="GV5" s="42"/>
      <c r="GW5" s="42"/>
      <c r="GX5" s="42"/>
      <c r="GY5" s="42"/>
      <c r="GZ5" s="42"/>
      <c r="HA5" s="42"/>
      <c r="HB5" s="42"/>
      <c r="HC5" s="42"/>
      <c r="HD5" s="42"/>
      <c r="HE5" s="42"/>
      <c r="HF5" s="42"/>
      <c r="HG5" s="42"/>
      <c r="HH5" s="42"/>
      <c r="HI5" s="42"/>
      <c r="HJ5" s="42"/>
      <c r="HK5" s="42"/>
      <c r="HL5" s="42"/>
      <c r="HM5" s="42"/>
      <c r="HN5" s="42"/>
      <c r="HO5" s="42"/>
      <c r="HP5" s="42"/>
      <c r="HQ5" s="42"/>
      <c r="HR5" s="42"/>
      <c r="HS5" s="42"/>
      <c r="HT5" s="42"/>
      <c r="HU5" s="42"/>
      <c r="HV5" s="42"/>
      <c r="HW5" s="42"/>
      <c r="HX5" s="42"/>
      <c r="HY5" s="42"/>
      <c r="HZ5" s="42"/>
      <c r="IA5" s="42"/>
      <c r="IB5" s="42"/>
      <c r="IC5" s="42"/>
      <c r="ID5" s="42"/>
      <c r="IE5" s="42"/>
      <c r="IF5" s="42"/>
      <c r="IG5" s="42"/>
      <c r="IH5" s="42"/>
      <c r="II5" s="42"/>
      <c r="IJ5" s="42"/>
      <c r="IK5" s="42"/>
      <c r="IL5" s="42"/>
      <c r="IM5" s="42"/>
      <c r="IN5" s="42"/>
      <c r="IO5" s="42"/>
      <c r="IP5" s="42"/>
      <c r="IQ5" s="42"/>
      <c r="IR5" s="42"/>
      <c r="IS5" s="42"/>
      <c r="IT5" s="42"/>
      <c r="IU5" s="42"/>
      <c r="IV5" s="42"/>
      <c r="IW5" s="42"/>
    </row>
    <row r="6" customFormat="false" ht="21" hidden="false" customHeight="true" outlineLevel="0" collapsed="false">
      <c r="A6" s="44" t="s">
        <v>19</v>
      </c>
      <c r="B6" s="45" t="s">
        <v>109</v>
      </c>
      <c r="C6" s="45"/>
      <c r="D6" s="24" t="s">
        <v>110</v>
      </c>
      <c r="E6" s="24"/>
      <c r="F6" s="24" t="s">
        <v>111</v>
      </c>
      <c r="G6" s="24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  <c r="EY6" s="42"/>
      <c r="EZ6" s="42"/>
      <c r="FA6" s="42"/>
      <c r="FB6" s="42"/>
      <c r="FC6" s="42"/>
      <c r="FD6" s="42"/>
      <c r="FE6" s="42"/>
      <c r="FF6" s="42"/>
      <c r="FG6" s="42"/>
      <c r="FH6" s="42"/>
      <c r="FI6" s="42"/>
      <c r="FJ6" s="42"/>
      <c r="FK6" s="42"/>
      <c r="FL6" s="42"/>
      <c r="FM6" s="42"/>
      <c r="FN6" s="42"/>
      <c r="FO6" s="42"/>
      <c r="FP6" s="42"/>
      <c r="FQ6" s="42"/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</row>
    <row r="7" customFormat="false" ht="21" hidden="false" customHeight="true" outlineLevel="0" collapsed="false">
      <c r="A7" s="44"/>
      <c r="B7" s="45"/>
      <c r="C7" s="45"/>
      <c r="D7" s="57" t="n">
        <v>2020</v>
      </c>
      <c r="E7" s="57" t="n">
        <v>2021</v>
      </c>
      <c r="F7" s="57" t="n">
        <v>2020</v>
      </c>
      <c r="G7" s="57" t="n">
        <v>2021</v>
      </c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  <c r="EY7" s="42"/>
      <c r="EZ7" s="42"/>
      <c r="FA7" s="42"/>
      <c r="FB7" s="42"/>
      <c r="FC7" s="42"/>
      <c r="FD7" s="42"/>
      <c r="FE7" s="42"/>
      <c r="FF7" s="42"/>
      <c r="FG7" s="42"/>
      <c r="FH7" s="42"/>
      <c r="FI7" s="42"/>
      <c r="FJ7" s="42"/>
      <c r="FK7" s="42"/>
      <c r="FL7" s="42"/>
      <c r="FM7" s="42"/>
      <c r="FN7" s="42"/>
      <c r="FO7" s="42"/>
      <c r="FP7" s="42"/>
      <c r="FQ7" s="42"/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</row>
    <row r="8" customFormat="false" ht="21" hidden="false" customHeight="true" outlineLevel="0" collapsed="false">
      <c r="A8" s="47" t="n">
        <v>1</v>
      </c>
      <c r="B8" s="45" t="s">
        <v>33</v>
      </c>
      <c r="C8" s="45"/>
      <c r="D8" s="27" t="n">
        <v>2320</v>
      </c>
      <c r="E8" s="27" t="n">
        <v>3078</v>
      </c>
      <c r="F8" s="27" t="n">
        <v>202008</v>
      </c>
      <c r="G8" s="27" t="n">
        <v>272467</v>
      </c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  <c r="EY8" s="42"/>
      <c r="EZ8" s="42"/>
      <c r="FA8" s="42"/>
      <c r="FB8" s="42"/>
      <c r="FC8" s="42"/>
      <c r="FD8" s="42"/>
      <c r="FE8" s="42"/>
      <c r="FF8" s="42"/>
      <c r="FG8" s="42"/>
      <c r="FH8" s="42"/>
      <c r="FI8" s="42"/>
      <c r="FJ8" s="42"/>
      <c r="FK8" s="42"/>
      <c r="FL8" s="42"/>
      <c r="FM8" s="42"/>
      <c r="FN8" s="42"/>
      <c r="FO8" s="42"/>
      <c r="FP8" s="42"/>
      <c r="FQ8" s="42"/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</row>
    <row r="9" customFormat="false" ht="21" hidden="false" customHeight="true" outlineLevel="0" collapsed="false">
      <c r="A9" s="47" t="n">
        <v>2</v>
      </c>
      <c r="B9" s="45" t="s">
        <v>112</v>
      </c>
      <c r="C9" s="45"/>
      <c r="D9" s="28" t="n">
        <v>1303</v>
      </c>
      <c r="E9" s="28" t="n">
        <v>2449</v>
      </c>
      <c r="F9" s="28" t="n">
        <v>112438</v>
      </c>
      <c r="G9" s="28" t="n">
        <v>190915</v>
      </c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  <c r="EY9" s="42"/>
      <c r="EZ9" s="42"/>
      <c r="FA9" s="42"/>
      <c r="FB9" s="42"/>
      <c r="FC9" s="42"/>
      <c r="FD9" s="42"/>
      <c r="FE9" s="42"/>
      <c r="FF9" s="42"/>
      <c r="FG9" s="42"/>
      <c r="FH9" s="42"/>
      <c r="FI9" s="42"/>
      <c r="FJ9" s="42"/>
      <c r="FK9" s="42"/>
      <c r="FL9" s="42"/>
      <c r="FM9" s="42"/>
      <c r="FN9" s="42"/>
      <c r="FO9" s="42"/>
      <c r="FP9" s="42"/>
      <c r="FQ9" s="42"/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</row>
    <row r="10" customFormat="false" ht="21" hidden="false" customHeight="true" outlineLevel="0" collapsed="false">
      <c r="A10" s="47" t="n">
        <v>3</v>
      </c>
      <c r="B10" s="45" t="s">
        <v>38</v>
      </c>
      <c r="C10" s="45"/>
      <c r="D10" s="27" t="n">
        <v>1860</v>
      </c>
      <c r="E10" s="27" t="n">
        <v>3337</v>
      </c>
      <c r="F10" s="27" t="n">
        <v>197800</v>
      </c>
      <c r="G10" s="27" t="n">
        <v>307128</v>
      </c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2"/>
      <c r="FA10" s="42"/>
      <c r="FB10" s="42"/>
      <c r="FC10" s="42"/>
      <c r="FD10" s="42"/>
      <c r="FE10" s="42"/>
      <c r="FF10" s="42"/>
      <c r="FG10" s="42"/>
      <c r="FH10" s="42"/>
      <c r="FI10" s="42"/>
      <c r="FJ10" s="42"/>
      <c r="FK10" s="42"/>
      <c r="FL10" s="42"/>
      <c r="FM10" s="42"/>
      <c r="FN10" s="42"/>
      <c r="FO10" s="42"/>
      <c r="FP10" s="42"/>
      <c r="FQ10" s="42"/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  <c r="IU10" s="42"/>
      <c r="IV10" s="42"/>
      <c r="IW10" s="42"/>
    </row>
    <row r="11" customFormat="false" ht="21" hidden="false" customHeight="true" outlineLevel="0" collapsed="false">
      <c r="A11" s="47" t="n">
        <v>4</v>
      </c>
      <c r="B11" s="45" t="s">
        <v>113</v>
      </c>
      <c r="C11" s="45"/>
      <c r="D11" s="28" t="n">
        <v>204</v>
      </c>
      <c r="E11" s="28" t="n">
        <v>421</v>
      </c>
      <c r="F11" s="28" t="n">
        <v>9273</v>
      </c>
      <c r="G11" s="28" t="n">
        <v>12072</v>
      </c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2"/>
      <c r="FG11" s="42"/>
      <c r="FH11" s="42"/>
      <c r="FI11" s="42"/>
      <c r="FJ11" s="42"/>
      <c r="FK11" s="42"/>
      <c r="FL11" s="42"/>
      <c r="FM11" s="42"/>
      <c r="FN11" s="42"/>
      <c r="FO11" s="42"/>
      <c r="FP11" s="42"/>
      <c r="FQ11" s="42"/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2"/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2"/>
      <c r="IR11" s="42"/>
      <c r="IS11" s="42"/>
      <c r="IT11" s="42"/>
      <c r="IU11" s="42"/>
      <c r="IV11" s="42"/>
      <c r="IW11" s="42"/>
    </row>
    <row r="12" customFormat="false" ht="21" hidden="false" customHeight="true" outlineLevel="0" collapsed="false">
      <c r="A12" s="47" t="n">
        <v>5</v>
      </c>
      <c r="B12" s="45" t="s">
        <v>114</v>
      </c>
      <c r="C12" s="45"/>
      <c r="D12" s="27" t="n">
        <v>3033</v>
      </c>
      <c r="E12" s="27" t="n">
        <v>5556</v>
      </c>
      <c r="F12" s="27" t="n">
        <v>304770</v>
      </c>
      <c r="G12" s="27" t="n">
        <v>530915</v>
      </c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42"/>
      <c r="FH12" s="42"/>
      <c r="FI12" s="42"/>
      <c r="FJ12" s="42"/>
      <c r="FK12" s="42"/>
      <c r="FL12" s="42"/>
      <c r="FM12" s="42"/>
      <c r="FN12" s="42"/>
      <c r="FO12" s="42"/>
      <c r="FP12" s="42"/>
      <c r="FQ12" s="42"/>
      <c r="FR12" s="42"/>
      <c r="FS12" s="42"/>
      <c r="FT12" s="42"/>
      <c r="FU12" s="42"/>
      <c r="FV12" s="42"/>
      <c r="FW12" s="42"/>
      <c r="FX12" s="42"/>
      <c r="FY12" s="42"/>
      <c r="FZ12" s="42"/>
      <c r="GA12" s="42"/>
      <c r="GB12" s="42"/>
      <c r="GC12" s="42"/>
      <c r="GD12" s="42"/>
      <c r="GE12" s="42"/>
      <c r="GF12" s="42"/>
      <c r="GG12" s="42"/>
      <c r="GH12" s="42"/>
      <c r="GI12" s="42"/>
      <c r="GJ12" s="42"/>
      <c r="GK12" s="42"/>
      <c r="GL12" s="42"/>
      <c r="GM12" s="42"/>
      <c r="GN12" s="42"/>
      <c r="GO12" s="42"/>
      <c r="GP12" s="42"/>
      <c r="GQ12" s="42"/>
      <c r="GR12" s="42"/>
      <c r="GS12" s="42"/>
      <c r="GT12" s="42"/>
      <c r="GU12" s="42"/>
      <c r="GV12" s="42"/>
      <c r="GW12" s="42"/>
      <c r="GX12" s="42"/>
      <c r="GY12" s="42"/>
      <c r="GZ12" s="42"/>
      <c r="HA12" s="42"/>
      <c r="HB12" s="42"/>
      <c r="HC12" s="42"/>
      <c r="HD12" s="42"/>
      <c r="HE12" s="42"/>
      <c r="HF12" s="42"/>
      <c r="HG12" s="42"/>
      <c r="HH12" s="42"/>
      <c r="HI12" s="42"/>
      <c r="HJ12" s="42"/>
      <c r="HK12" s="42"/>
      <c r="HL12" s="42"/>
      <c r="HM12" s="42"/>
      <c r="HN12" s="42"/>
      <c r="HO12" s="42"/>
      <c r="HP12" s="42"/>
      <c r="HQ12" s="42"/>
      <c r="HR12" s="42"/>
      <c r="HS12" s="42"/>
      <c r="HT12" s="42"/>
      <c r="HU12" s="42"/>
      <c r="HV12" s="42"/>
      <c r="HW12" s="42"/>
      <c r="HX12" s="42"/>
      <c r="HY12" s="42"/>
      <c r="HZ12" s="42"/>
      <c r="IA12" s="42"/>
      <c r="IB12" s="42"/>
      <c r="IC12" s="42"/>
      <c r="ID12" s="42"/>
      <c r="IE12" s="42"/>
      <c r="IF12" s="42"/>
      <c r="IG12" s="42"/>
      <c r="IH12" s="42"/>
      <c r="II12" s="42"/>
      <c r="IJ12" s="42"/>
      <c r="IK12" s="42"/>
      <c r="IL12" s="42"/>
      <c r="IM12" s="42"/>
      <c r="IN12" s="42"/>
      <c r="IO12" s="42"/>
      <c r="IP12" s="42"/>
      <c r="IQ12" s="42"/>
      <c r="IR12" s="42"/>
      <c r="IS12" s="42"/>
      <c r="IT12" s="42"/>
      <c r="IU12" s="42"/>
      <c r="IV12" s="42"/>
      <c r="IW12" s="42"/>
    </row>
    <row r="13" customFormat="false" ht="21" hidden="false" customHeight="true" outlineLevel="0" collapsed="false">
      <c r="A13" s="47" t="n">
        <v>6</v>
      </c>
      <c r="B13" s="45" t="s">
        <v>115</v>
      </c>
      <c r="C13" s="45"/>
      <c r="D13" s="28" t="n">
        <v>574</v>
      </c>
      <c r="E13" s="28" t="n">
        <v>1227</v>
      </c>
      <c r="F13" s="28" t="n">
        <v>21204</v>
      </c>
      <c r="G13" s="28" t="n">
        <v>40285</v>
      </c>
      <c r="J13" s="7"/>
      <c r="K13" s="7"/>
      <c r="L13" s="7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42"/>
      <c r="FH13" s="42"/>
      <c r="FI13" s="42"/>
      <c r="FJ13" s="42"/>
      <c r="FK13" s="42"/>
      <c r="FL13" s="42"/>
      <c r="FM13" s="42"/>
      <c r="FN13" s="42"/>
      <c r="FO13" s="42"/>
      <c r="FP13" s="42"/>
      <c r="FQ13" s="42"/>
      <c r="FR13" s="42"/>
      <c r="FS13" s="42"/>
      <c r="FT13" s="42"/>
      <c r="FU13" s="42"/>
      <c r="FV13" s="42"/>
      <c r="FW13" s="42"/>
      <c r="FX13" s="42"/>
      <c r="FY13" s="42"/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42"/>
      <c r="GO13" s="42"/>
      <c r="GP13" s="42"/>
      <c r="GQ13" s="42"/>
      <c r="GR13" s="42"/>
      <c r="GS13" s="42"/>
      <c r="GT13" s="42"/>
      <c r="GU13" s="42"/>
      <c r="GV13" s="42"/>
      <c r="GW13" s="42"/>
      <c r="GX13" s="42"/>
      <c r="GY13" s="42"/>
      <c r="GZ13" s="42"/>
      <c r="HA13" s="42"/>
      <c r="HB13" s="42"/>
      <c r="HC13" s="42"/>
      <c r="HD13" s="42"/>
      <c r="HE13" s="42"/>
      <c r="HF13" s="42"/>
      <c r="HG13" s="42"/>
      <c r="HH13" s="42"/>
      <c r="HI13" s="42"/>
      <c r="HJ13" s="42"/>
      <c r="HK13" s="42"/>
      <c r="HL13" s="42"/>
      <c r="HM13" s="42"/>
      <c r="HN13" s="42"/>
      <c r="HO13" s="42"/>
      <c r="HP13" s="42"/>
      <c r="HQ13" s="42"/>
      <c r="HR13" s="42"/>
      <c r="HS13" s="42"/>
      <c r="HT13" s="42"/>
      <c r="HU13" s="42"/>
      <c r="HV13" s="42"/>
      <c r="HW13" s="42"/>
      <c r="HX13" s="42"/>
      <c r="HY13" s="42"/>
      <c r="HZ13" s="42"/>
      <c r="IA13" s="42"/>
      <c r="IB13" s="42"/>
      <c r="IC13" s="42"/>
      <c r="ID13" s="42"/>
      <c r="IE13" s="42"/>
      <c r="IF13" s="42"/>
      <c r="IG13" s="42"/>
      <c r="IH13" s="42"/>
      <c r="II13" s="42"/>
      <c r="IJ13" s="42"/>
      <c r="IK13" s="42"/>
      <c r="IL13" s="42"/>
      <c r="IM13" s="42"/>
      <c r="IN13" s="42"/>
      <c r="IO13" s="42"/>
      <c r="IP13" s="42"/>
      <c r="IQ13" s="42"/>
      <c r="IR13" s="42"/>
      <c r="IS13" s="42"/>
      <c r="IT13" s="42"/>
      <c r="IU13" s="42"/>
      <c r="IV13" s="42"/>
      <c r="IW13" s="42"/>
    </row>
    <row r="14" customFormat="false" ht="21" hidden="false" customHeight="true" outlineLevel="0" collapsed="false">
      <c r="A14" s="47" t="n">
        <v>7</v>
      </c>
      <c r="B14" s="45" t="s">
        <v>116</v>
      </c>
      <c r="C14" s="45"/>
      <c r="D14" s="27" t="n">
        <v>692</v>
      </c>
      <c r="E14" s="27" t="n">
        <v>1097</v>
      </c>
      <c r="F14" s="27" t="n">
        <v>4908</v>
      </c>
      <c r="G14" s="27" t="n">
        <v>6443</v>
      </c>
      <c r="J14" s="7"/>
      <c r="K14" s="7"/>
      <c r="L14" s="7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2"/>
      <c r="FH14" s="42"/>
      <c r="FI14" s="42"/>
      <c r="FJ14" s="42"/>
      <c r="FK14" s="42"/>
      <c r="FL14" s="42"/>
      <c r="FM14" s="42"/>
      <c r="FN14" s="42"/>
      <c r="FO14" s="42"/>
      <c r="FP14" s="42"/>
      <c r="FQ14" s="42"/>
      <c r="FR14" s="42"/>
      <c r="FS14" s="42"/>
      <c r="FT14" s="42"/>
      <c r="FU14" s="42"/>
      <c r="FV14" s="42"/>
      <c r="FW14" s="42"/>
      <c r="FX14" s="42"/>
      <c r="FY14" s="42"/>
      <c r="FZ14" s="42"/>
      <c r="GA14" s="42"/>
      <c r="GB14" s="42"/>
      <c r="GC14" s="42"/>
      <c r="GD14" s="42"/>
      <c r="GE14" s="42"/>
      <c r="GF14" s="42"/>
      <c r="GG14" s="42"/>
      <c r="GH14" s="42"/>
      <c r="GI14" s="42"/>
      <c r="GJ14" s="42"/>
      <c r="GK14" s="42"/>
      <c r="GL14" s="42"/>
      <c r="GM14" s="42"/>
      <c r="GN14" s="42"/>
      <c r="GO14" s="42"/>
      <c r="GP14" s="42"/>
      <c r="GQ14" s="42"/>
      <c r="GR14" s="42"/>
      <c r="GS14" s="42"/>
      <c r="GT14" s="42"/>
      <c r="GU14" s="42"/>
      <c r="GV14" s="42"/>
      <c r="GW14" s="42"/>
      <c r="GX14" s="42"/>
      <c r="GY14" s="42"/>
      <c r="GZ14" s="42"/>
      <c r="HA14" s="42"/>
      <c r="HB14" s="42"/>
      <c r="HC14" s="42"/>
      <c r="HD14" s="42"/>
      <c r="HE14" s="42"/>
      <c r="HF14" s="42"/>
      <c r="HG14" s="42"/>
      <c r="HH14" s="42"/>
      <c r="HI14" s="42"/>
      <c r="HJ14" s="42"/>
      <c r="HK14" s="42"/>
      <c r="HL14" s="42"/>
      <c r="HM14" s="42"/>
      <c r="HN14" s="42"/>
      <c r="HO14" s="42"/>
      <c r="HP14" s="42"/>
      <c r="HQ14" s="42"/>
      <c r="HR14" s="42"/>
      <c r="HS14" s="42"/>
      <c r="HT14" s="42"/>
      <c r="HU14" s="42"/>
      <c r="HV14" s="42"/>
      <c r="HW14" s="42"/>
      <c r="HX14" s="42"/>
      <c r="HY14" s="42"/>
      <c r="HZ14" s="42"/>
      <c r="IA14" s="42"/>
      <c r="IB14" s="42"/>
      <c r="IC14" s="42"/>
      <c r="ID14" s="42"/>
      <c r="IE14" s="42"/>
      <c r="IF14" s="42"/>
      <c r="IG14" s="42"/>
      <c r="IH14" s="42"/>
      <c r="II14" s="42"/>
      <c r="IJ14" s="42"/>
      <c r="IK14" s="42"/>
      <c r="IL14" s="42"/>
      <c r="IM14" s="42"/>
      <c r="IN14" s="42"/>
      <c r="IO14" s="42"/>
      <c r="IP14" s="42"/>
      <c r="IQ14" s="42"/>
      <c r="IR14" s="42"/>
      <c r="IS14" s="42"/>
      <c r="IT14" s="42"/>
      <c r="IU14" s="42"/>
      <c r="IV14" s="42"/>
      <c r="IW14" s="42"/>
    </row>
    <row r="15" customFormat="false" ht="21" hidden="false" customHeight="true" outlineLevel="0" collapsed="false">
      <c r="A15" s="47" t="n">
        <v>8</v>
      </c>
      <c r="B15" s="45" t="s">
        <v>117</v>
      </c>
      <c r="C15" s="45"/>
      <c r="D15" s="28" t="n">
        <v>2360</v>
      </c>
      <c r="E15" s="28" t="n">
        <v>2848</v>
      </c>
      <c r="F15" s="28" t="n">
        <v>181604</v>
      </c>
      <c r="G15" s="28" t="n">
        <v>247373</v>
      </c>
      <c r="J15" s="7"/>
      <c r="K15" s="7"/>
      <c r="L15" s="7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2"/>
      <c r="EO15" s="42"/>
      <c r="EP15" s="42"/>
      <c r="EQ15" s="42"/>
      <c r="ER15" s="42"/>
      <c r="ES15" s="42"/>
      <c r="ET15" s="42"/>
      <c r="EU15" s="42"/>
      <c r="EV15" s="42"/>
      <c r="EW15" s="42"/>
      <c r="EX15" s="42"/>
      <c r="EY15" s="42"/>
      <c r="EZ15" s="42"/>
      <c r="FA15" s="42"/>
      <c r="FB15" s="42"/>
      <c r="FC15" s="42"/>
      <c r="FD15" s="42"/>
      <c r="FE15" s="42"/>
      <c r="FF15" s="42"/>
      <c r="FG15" s="42"/>
      <c r="FH15" s="42"/>
      <c r="FI15" s="42"/>
      <c r="FJ15" s="42"/>
      <c r="FK15" s="42"/>
      <c r="FL15" s="42"/>
      <c r="FM15" s="42"/>
      <c r="FN15" s="42"/>
      <c r="FO15" s="42"/>
      <c r="FP15" s="42"/>
      <c r="FQ15" s="42"/>
      <c r="FR15" s="42"/>
      <c r="FS15" s="42"/>
      <c r="FT15" s="42"/>
      <c r="FU15" s="42"/>
      <c r="FV15" s="42"/>
      <c r="FW15" s="42"/>
      <c r="FX15" s="42"/>
      <c r="FY15" s="42"/>
      <c r="FZ15" s="42"/>
      <c r="GA15" s="42"/>
      <c r="GB15" s="42"/>
      <c r="GC15" s="42"/>
      <c r="GD15" s="42"/>
      <c r="GE15" s="42"/>
      <c r="GF15" s="42"/>
      <c r="GG15" s="42"/>
      <c r="GH15" s="42"/>
      <c r="GI15" s="42"/>
      <c r="GJ15" s="42"/>
      <c r="GK15" s="42"/>
      <c r="GL15" s="42"/>
      <c r="GM15" s="42"/>
      <c r="GN15" s="42"/>
      <c r="GO15" s="42"/>
      <c r="GP15" s="42"/>
      <c r="GQ15" s="42"/>
      <c r="GR15" s="42"/>
      <c r="GS15" s="42"/>
      <c r="GT15" s="42"/>
      <c r="GU15" s="42"/>
      <c r="GV15" s="42"/>
      <c r="GW15" s="42"/>
      <c r="GX15" s="42"/>
      <c r="GY15" s="42"/>
      <c r="GZ15" s="42"/>
      <c r="HA15" s="42"/>
      <c r="HB15" s="42"/>
      <c r="HC15" s="42"/>
      <c r="HD15" s="42"/>
      <c r="HE15" s="42"/>
      <c r="HF15" s="42"/>
      <c r="HG15" s="42"/>
      <c r="HH15" s="42"/>
      <c r="HI15" s="42"/>
      <c r="HJ15" s="42"/>
      <c r="HK15" s="42"/>
      <c r="HL15" s="42"/>
      <c r="HM15" s="42"/>
      <c r="HN15" s="42"/>
      <c r="HO15" s="42"/>
      <c r="HP15" s="42"/>
      <c r="HQ15" s="42"/>
      <c r="HR15" s="42"/>
      <c r="HS15" s="42"/>
      <c r="HT15" s="42"/>
      <c r="HU15" s="42"/>
      <c r="HV15" s="42"/>
      <c r="HW15" s="42"/>
      <c r="HX15" s="42"/>
      <c r="HY15" s="42"/>
      <c r="HZ15" s="42"/>
      <c r="IA15" s="42"/>
      <c r="IB15" s="42"/>
      <c r="IC15" s="42"/>
      <c r="ID15" s="42"/>
      <c r="IE15" s="42"/>
      <c r="IF15" s="42"/>
      <c r="IG15" s="42"/>
      <c r="IH15" s="42"/>
      <c r="II15" s="42"/>
      <c r="IJ15" s="42"/>
      <c r="IK15" s="42"/>
      <c r="IL15" s="42"/>
      <c r="IM15" s="42"/>
      <c r="IN15" s="42"/>
      <c r="IO15" s="42"/>
      <c r="IP15" s="42"/>
      <c r="IQ15" s="42"/>
      <c r="IR15" s="42"/>
      <c r="IS15" s="42"/>
      <c r="IT15" s="42"/>
      <c r="IU15" s="42"/>
      <c r="IV15" s="42"/>
      <c r="IW15" s="42"/>
    </row>
    <row r="16" customFormat="false" ht="21" hidden="false" customHeight="true" outlineLevel="0" collapsed="false">
      <c r="A16" s="47" t="n">
        <v>9</v>
      </c>
      <c r="B16" s="45" t="s">
        <v>118</v>
      </c>
      <c r="C16" s="45"/>
      <c r="D16" s="27" t="n">
        <v>422</v>
      </c>
      <c r="E16" s="27" t="n">
        <v>647</v>
      </c>
      <c r="F16" s="27" t="n">
        <v>42595</v>
      </c>
      <c r="G16" s="27" t="n">
        <v>60812</v>
      </c>
      <c r="J16" s="7"/>
      <c r="K16" s="7"/>
      <c r="L16" s="7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2"/>
      <c r="DX16" s="42"/>
      <c r="DY16" s="42"/>
      <c r="DZ16" s="42"/>
      <c r="EA16" s="42"/>
      <c r="EB16" s="42"/>
      <c r="EC16" s="42"/>
      <c r="ED16" s="42"/>
      <c r="EE16" s="42"/>
      <c r="EF16" s="42"/>
      <c r="EG16" s="42"/>
      <c r="EH16" s="42"/>
      <c r="EI16" s="42"/>
      <c r="EJ16" s="42"/>
      <c r="EK16" s="42"/>
      <c r="EL16" s="42"/>
      <c r="EM16" s="42"/>
      <c r="EN16" s="42"/>
      <c r="EO16" s="42"/>
      <c r="EP16" s="42"/>
      <c r="EQ16" s="42"/>
      <c r="ER16" s="42"/>
      <c r="ES16" s="42"/>
      <c r="ET16" s="42"/>
      <c r="EU16" s="42"/>
      <c r="EV16" s="42"/>
      <c r="EW16" s="42"/>
      <c r="EX16" s="42"/>
      <c r="EY16" s="42"/>
      <c r="EZ16" s="42"/>
      <c r="FA16" s="42"/>
      <c r="FB16" s="42"/>
      <c r="FC16" s="42"/>
      <c r="FD16" s="42"/>
      <c r="FE16" s="42"/>
      <c r="FF16" s="42"/>
      <c r="FG16" s="42"/>
      <c r="FH16" s="42"/>
      <c r="FI16" s="42"/>
      <c r="FJ16" s="42"/>
      <c r="FK16" s="42"/>
      <c r="FL16" s="42"/>
      <c r="FM16" s="42"/>
      <c r="FN16" s="42"/>
      <c r="FO16" s="42"/>
      <c r="FP16" s="42"/>
      <c r="FQ16" s="42"/>
      <c r="FR16" s="42"/>
      <c r="FS16" s="42"/>
      <c r="FT16" s="42"/>
      <c r="FU16" s="42"/>
      <c r="FV16" s="42"/>
      <c r="FW16" s="42"/>
      <c r="FX16" s="42"/>
      <c r="FY16" s="42"/>
      <c r="FZ16" s="42"/>
      <c r="GA16" s="42"/>
      <c r="GB16" s="42"/>
      <c r="GC16" s="42"/>
      <c r="GD16" s="42"/>
      <c r="GE16" s="42"/>
      <c r="GF16" s="42"/>
      <c r="GG16" s="42"/>
      <c r="GH16" s="42"/>
      <c r="GI16" s="42"/>
      <c r="GJ16" s="42"/>
      <c r="GK16" s="42"/>
      <c r="GL16" s="42"/>
      <c r="GM16" s="42"/>
      <c r="GN16" s="42"/>
      <c r="GO16" s="42"/>
      <c r="GP16" s="42"/>
      <c r="GQ16" s="42"/>
      <c r="GR16" s="42"/>
      <c r="GS16" s="42"/>
      <c r="GT16" s="42"/>
      <c r="GU16" s="42"/>
      <c r="GV16" s="42"/>
      <c r="GW16" s="42"/>
      <c r="GX16" s="42"/>
      <c r="GY16" s="42"/>
      <c r="GZ16" s="42"/>
      <c r="HA16" s="42"/>
      <c r="HB16" s="42"/>
      <c r="HC16" s="42"/>
      <c r="HD16" s="42"/>
      <c r="HE16" s="42"/>
      <c r="HF16" s="42"/>
      <c r="HG16" s="42"/>
      <c r="HH16" s="42"/>
      <c r="HI16" s="42"/>
      <c r="HJ16" s="42"/>
      <c r="HK16" s="42"/>
      <c r="HL16" s="42"/>
      <c r="HM16" s="42"/>
      <c r="HN16" s="42"/>
      <c r="HO16" s="42"/>
      <c r="HP16" s="42"/>
      <c r="HQ16" s="42"/>
      <c r="HR16" s="42"/>
      <c r="HS16" s="42"/>
      <c r="HT16" s="42"/>
      <c r="HU16" s="42"/>
      <c r="HV16" s="42"/>
      <c r="HW16" s="42"/>
      <c r="HX16" s="42"/>
      <c r="HY16" s="42"/>
      <c r="HZ16" s="42"/>
      <c r="IA16" s="42"/>
      <c r="IB16" s="42"/>
      <c r="IC16" s="42"/>
      <c r="ID16" s="42"/>
      <c r="IE16" s="42"/>
      <c r="IF16" s="42"/>
      <c r="IG16" s="42"/>
      <c r="IH16" s="42"/>
      <c r="II16" s="42"/>
      <c r="IJ16" s="42"/>
      <c r="IK16" s="42"/>
      <c r="IL16" s="42"/>
      <c r="IM16" s="42"/>
      <c r="IN16" s="42"/>
      <c r="IO16" s="42"/>
      <c r="IP16" s="42"/>
      <c r="IQ16" s="42"/>
      <c r="IR16" s="42"/>
      <c r="IS16" s="42"/>
      <c r="IT16" s="42"/>
      <c r="IU16" s="42"/>
      <c r="IV16" s="42"/>
      <c r="IW16" s="42"/>
    </row>
    <row r="17" customFormat="false" ht="21" hidden="false" customHeight="true" outlineLevel="0" collapsed="false">
      <c r="A17" s="47" t="n">
        <v>10</v>
      </c>
      <c r="B17" s="45" t="s">
        <v>119</v>
      </c>
      <c r="C17" s="45"/>
      <c r="D17" s="28" t="n">
        <v>1546</v>
      </c>
      <c r="E17" s="28" t="n">
        <v>2292</v>
      </c>
      <c r="F17" s="28" t="n">
        <v>114744</v>
      </c>
      <c r="G17" s="28" t="n">
        <v>164316</v>
      </c>
      <c r="J17" s="7"/>
      <c r="K17" s="7"/>
      <c r="L17" s="7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  <c r="EO17" s="42"/>
      <c r="EP17" s="42"/>
      <c r="EQ17" s="42"/>
      <c r="ER17" s="42"/>
      <c r="ES17" s="42"/>
      <c r="ET17" s="42"/>
      <c r="EU17" s="42"/>
      <c r="EV17" s="42"/>
      <c r="EW17" s="42"/>
      <c r="EX17" s="42"/>
      <c r="EY17" s="42"/>
      <c r="EZ17" s="42"/>
      <c r="FA17" s="42"/>
      <c r="FB17" s="42"/>
      <c r="FC17" s="42"/>
      <c r="FD17" s="42"/>
      <c r="FE17" s="42"/>
      <c r="FF17" s="42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/>
      <c r="GL17" s="42"/>
      <c r="GM17" s="42"/>
      <c r="GN17" s="42"/>
      <c r="GO17" s="42"/>
      <c r="GP17" s="42"/>
      <c r="GQ17" s="42"/>
      <c r="GR17" s="42"/>
      <c r="GS17" s="42"/>
      <c r="GT17" s="42"/>
      <c r="GU17" s="42"/>
      <c r="GV17" s="42"/>
      <c r="GW17" s="42"/>
      <c r="GX17" s="42"/>
      <c r="GY17" s="42"/>
      <c r="GZ17" s="42"/>
      <c r="HA17" s="42"/>
      <c r="HB17" s="42"/>
      <c r="HC17" s="42"/>
      <c r="HD17" s="42"/>
      <c r="HE17" s="42"/>
      <c r="HF17" s="42"/>
      <c r="HG17" s="42"/>
      <c r="HH17" s="42"/>
      <c r="HI17" s="42"/>
      <c r="HJ17" s="42"/>
      <c r="HK17" s="42"/>
      <c r="HL17" s="42"/>
      <c r="HM17" s="42"/>
      <c r="HN17" s="42"/>
      <c r="HO17" s="42"/>
      <c r="HP17" s="42"/>
      <c r="HQ17" s="42"/>
      <c r="HR17" s="42"/>
      <c r="HS17" s="42"/>
      <c r="HT17" s="42"/>
      <c r="HU17" s="42"/>
      <c r="HV17" s="42"/>
      <c r="HW17" s="42"/>
      <c r="HX17" s="42"/>
      <c r="HY17" s="42"/>
      <c r="HZ17" s="42"/>
      <c r="IA17" s="42"/>
      <c r="IB17" s="42"/>
      <c r="IC17" s="42"/>
      <c r="ID17" s="42"/>
      <c r="IE17" s="42"/>
      <c r="IF17" s="42"/>
      <c r="IG17" s="42"/>
      <c r="IH17" s="42"/>
      <c r="II17" s="42"/>
      <c r="IJ17" s="42"/>
      <c r="IK17" s="42"/>
      <c r="IL17" s="42"/>
      <c r="IM17" s="42"/>
      <c r="IN17" s="42"/>
      <c r="IO17" s="42"/>
      <c r="IP17" s="42"/>
      <c r="IQ17" s="42"/>
      <c r="IR17" s="42"/>
      <c r="IS17" s="42"/>
      <c r="IT17" s="42"/>
      <c r="IU17" s="42"/>
      <c r="IV17" s="42"/>
      <c r="IW17" s="42"/>
    </row>
    <row r="18" customFormat="false" ht="21" hidden="false" customHeight="true" outlineLevel="0" collapsed="false">
      <c r="A18" s="47" t="n">
        <v>11</v>
      </c>
      <c r="B18" s="45" t="s">
        <v>55</v>
      </c>
      <c r="C18" s="45"/>
      <c r="D18" s="27" t="n">
        <v>684</v>
      </c>
      <c r="E18" s="27" t="n">
        <v>928</v>
      </c>
      <c r="F18" s="27" t="n">
        <v>43292</v>
      </c>
      <c r="G18" s="27" t="n">
        <v>60389</v>
      </c>
      <c r="J18" s="7"/>
      <c r="K18" s="7"/>
      <c r="L18" s="7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 s="42"/>
      <c r="DT18" s="42"/>
      <c r="DU18" s="42"/>
      <c r="DV18" s="42"/>
      <c r="DW18" s="42"/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/>
      <c r="EN18" s="42"/>
      <c r="EO18" s="42"/>
      <c r="EP18" s="42"/>
      <c r="EQ18" s="42"/>
      <c r="ER18" s="42"/>
      <c r="ES18" s="42"/>
      <c r="ET18" s="42"/>
      <c r="EU18" s="42"/>
      <c r="EV18" s="42"/>
      <c r="EW18" s="42"/>
      <c r="EX18" s="42"/>
      <c r="EY18" s="42"/>
      <c r="EZ18" s="42"/>
      <c r="FA18" s="42"/>
      <c r="FB18" s="42"/>
      <c r="FC18" s="42"/>
      <c r="FD18" s="42"/>
      <c r="FE18" s="42"/>
      <c r="FF18" s="42"/>
      <c r="FG18" s="42"/>
      <c r="FH18" s="42"/>
      <c r="FI18" s="42"/>
      <c r="FJ18" s="42"/>
      <c r="FK18" s="42"/>
      <c r="FL18" s="42"/>
      <c r="FM18" s="42"/>
      <c r="FN18" s="42"/>
      <c r="FO18" s="42"/>
      <c r="FP18" s="42"/>
      <c r="FQ18" s="42"/>
      <c r="FR18" s="42"/>
      <c r="FS18" s="42"/>
      <c r="FT18" s="42"/>
      <c r="FU18" s="42"/>
      <c r="FV18" s="42"/>
      <c r="FW18" s="42"/>
      <c r="FX18" s="42"/>
      <c r="FY18" s="42"/>
      <c r="FZ18" s="42"/>
      <c r="GA18" s="42"/>
      <c r="GB18" s="42"/>
      <c r="GC18" s="42"/>
      <c r="GD18" s="42"/>
      <c r="GE18" s="42"/>
      <c r="GF18" s="42"/>
      <c r="GG18" s="42"/>
      <c r="GH18" s="42"/>
      <c r="GI18" s="42"/>
      <c r="GJ18" s="42"/>
      <c r="GK18" s="42"/>
      <c r="GL18" s="42"/>
      <c r="GM18" s="42"/>
      <c r="GN18" s="42"/>
      <c r="GO18" s="42"/>
      <c r="GP18" s="42"/>
      <c r="GQ18" s="42"/>
      <c r="GR18" s="42"/>
      <c r="GS18" s="42"/>
      <c r="GT18" s="42"/>
      <c r="GU18" s="42"/>
      <c r="GV18" s="42"/>
      <c r="GW18" s="42"/>
      <c r="GX18" s="42"/>
      <c r="GY18" s="42"/>
      <c r="GZ18" s="42"/>
      <c r="HA18" s="42"/>
      <c r="HB18" s="42"/>
      <c r="HC18" s="42"/>
      <c r="HD18" s="42"/>
      <c r="HE18" s="42"/>
      <c r="HF18" s="42"/>
      <c r="HG18" s="42"/>
      <c r="HH18" s="42"/>
      <c r="HI18" s="42"/>
      <c r="HJ18" s="42"/>
      <c r="HK18" s="42"/>
      <c r="HL18" s="42"/>
      <c r="HM18" s="42"/>
      <c r="HN18" s="42"/>
      <c r="HO18" s="42"/>
      <c r="HP18" s="42"/>
      <c r="HQ18" s="42"/>
      <c r="HR18" s="42"/>
      <c r="HS18" s="42"/>
      <c r="HT18" s="42"/>
      <c r="HU18" s="42"/>
      <c r="HV18" s="42"/>
      <c r="HW18" s="42"/>
      <c r="HX18" s="42"/>
      <c r="HY18" s="42"/>
      <c r="HZ18" s="42"/>
      <c r="IA18" s="42"/>
      <c r="IB18" s="42"/>
      <c r="IC18" s="42"/>
      <c r="ID18" s="42"/>
      <c r="IE18" s="42"/>
      <c r="IF18" s="42"/>
      <c r="IG18" s="42"/>
      <c r="IH18" s="42"/>
      <c r="II18" s="42"/>
      <c r="IJ18" s="42"/>
      <c r="IK18" s="42"/>
      <c r="IL18" s="42"/>
      <c r="IM18" s="42"/>
      <c r="IN18" s="42"/>
      <c r="IO18" s="42"/>
      <c r="IP18" s="42"/>
      <c r="IQ18" s="42"/>
      <c r="IR18" s="42"/>
      <c r="IS18" s="42"/>
      <c r="IT18" s="42"/>
      <c r="IU18" s="42"/>
      <c r="IV18" s="42"/>
      <c r="IW18" s="42"/>
    </row>
    <row r="19" customFormat="false" ht="21" hidden="false" customHeight="true" outlineLevel="0" collapsed="false">
      <c r="A19" s="47" t="n">
        <v>12</v>
      </c>
      <c r="B19" s="45" t="s">
        <v>58</v>
      </c>
      <c r="C19" s="45"/>
      <c r="D19" s="28" t="n">
        <v>1263</v>
      </c>
      <c r="E19" s="28" t="n">
        <v>2038</v>
      </c>
      <c r="F19" s="28" t="n">
        <v>103780</v>
      </c>
      <c r="G19" s="28" t="n">
        <v>173434</v>
      </c>
      <c r="J19" s="7"/>
      <c r="K19" s="7"/>
      <c r="L19" s="7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/>
      <c r="DI19" s="42"/>
      <c r="DJ19" s="42"/>
      <c r="DK19" s="42"/>
      <c r="DL19" s="42"/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42"/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42"/>
      <c r="FH19" s="42"/>
      <c r="FI19" s="42"/>
      <c r="FJ19" s="42"/>
      <c r="FK19" s="42"/>
      <c r="FL19" s="42"/>
      <c r="FM19" s="42"/>
      <c r="FN19" s="42"/>
      <c r="FO19" s="42"/>
      <c r="FP19" s="42"/>
      <c r="FQ19" s="42"/>
      <c r="FR19" s="42"/>
      <c r="FS19" s="42"/>
      <c r="FT19" s="42"/>
      <c r="FU19" s="42"/>
      <c r="FV19" s="42"/>
      <c r="FW19" s="42"/>
      <c r="FX19" s="42"/>
      <c r="FY19" s="42"/>
      <c r="FZ19" s="42"/>
      <c r="GA19" s="42"/>
      <c r="GB19" s="42"/>
      <c r="GC19" s="42"/>
      <c r="GD19" s="42"/>
      <c r="GE19" s="42"/>
      <c r="GF19" s="42"/>
      <c r="GG19" s="42"/>
      <c r="GH19" s="42"/>
      <c r="GI19" s="42"/>
      <c r="GJ19" s="42"/>
      <c r="GK19" s="42"/>
      <c r="GL19" s="42"/>
      <c r="GM19" s="42"/>
      <c r="GN19" s="42"/>
      <c r="GO19" s="42"/>
      <c r="GP19" s="42"/>
      <c r="GQ19" s="42"/>
      <c r="GR19" s="42"/>
      <c r="GS19" s="42"/>
      <c r="GT19" s="42"/>
      <c r="GU19" s="42"/>
      <c r="GV19" s="42"/>
      <c r="GW19" s="42"/>
      <c r="GX19" s="42"/>
      <c r="GY19" s="42"/>
      <c r="GZ19" s="42"/>
      <c r="HA19" s="42"/>
      <c r="HB19" s="42"/>
      <c r="HC19" s="42"/>
      <c r="HD19" s="42"/>
      <c r="HE19" s="42"/>
      <c r="HF19" s="42"/>
      <c r="HG19" s="42"/>
      <c r="HH19" s="42"/>
      <c r="HI19" s="42"/>
      <c r="HJ19" s="42"/>
      <c r="HK19" s="42"/>
      <c r="HL19" s="42"/>
      <c r="HM19" s="42"/>
      <c r="HN19" s="42"/>
      <c r="HO19" s="42"/>
      <c r="HP19" s="42"/>
      <c r="HQ19" s="42"/>
      <c r="HR19" s="42"/>
      <c r="HS19" s="42"/>
      <c r="HT19" s="42"/>
      <c r="HU19" s="42"/>
      <c r="HV19" s="42"/>
      <c r="HW19" s="42"/>
      <c r="HX19" s="42"/>
      <c r="HY19" s="42"/>
      <c r="HZ19" s="42"/>
      <c r="IA19" s="42"/>
      <c r="IB19" s="42"/>
      <c r="IC19" s="42"/>
      <c r="ID19" s="42"/>
      <c r="IE19" s="42"/>
      <c r="IF19" s="42"/>
      <c r="IG19" s="42"/>
      <c r="IH19" s="42"/>
      <c r="II19" s="42"/>
      <c r="IJ19" s="42"/>
      <c r="IK19" s="42"/>
      <c r="IL19" s="42"/>
      <c r="IM19" s="42"/>
      <c r="IN19" s="42"/>
      <c r="IO19" s="42"/>
      <c r="IP19" s="42"/>
      <c r="IQ19" s="42"/>
      <c r="IR19" s="42"/>
      <c r="IS19" s="42"/>
      <c r="IT19" s="42"/>
      <c r="IU19" s="42"/>
      <c r="IV19" s="42"/>
      <c r="IW19" s="42"/>
    </row>
    <row r="20" customFormat="false" ht="21" hidden="false" customHeight="true" outlineLevel="0" collapsed="false">
      <c r="A20" s="47" t="n">
        <v>13</v>
      </c>
      <c r="B20" s="45" t="s">
        <v>120</v>
      </c>
      <c r="C20" s="45"/>
      <c r="D20" s="27" t="n">
        <v>843</v>
      </c>
      <c r="E20" s="27" t="n">
        <v>1216</v>
      </c>
      <c r="F20" s="27" t="n">
        <v>53648</v>
      </c>
      <c r="G20" s="27" t="n">
        <v>74056</v>
      </c>
      <c r="J20" s="7"/>
      <c r="K20" s="7"/>
      <c r="L20" s="7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2"/>
      <c r="EE20" s="42"/>
      <c r="EF20" s="42"/>
      <c r="EG20" s="42"/>
      <c r="EH20" s="42"/>
      <c r="EI20" s="42"/>
      <c r="EJ20" s="42"/>
      <c r="EK20" s="42"/>
      <c r="EL20" s="42"/>
      <c r="EM20" s="42"/>
      <c r="EN20" s="42"/>
      <c r="EO20" s="42"/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2"/>
      <c r="FA20" s="42"/>
      <c r="FB20" s="42"/>
      <c r="FC20" s="42"/>
      <c r="FD20" s="42"/>
      <c r="FE20" s="42"/>
      <c r="FF20" s="42"/>
      <c r="FG20" s="42"/>
      <c r="FH20" s="42"/>
      <c r="FI20" s="42"/>
      <c r="FJ20" s="42"/>
      <c r="FK20" s="42"/>
      <c r="FL20" s="42"/>
      <c r="FM20" s="42"/>
      <c r="FN20" s="42"/>
      <c r="FO20" s="42"/>
      <c r="FP20" s="42"/>
      <c r="FQ20" s="42"/>
      <c r="FR20" s="42"/>
      <c r="FS20" s="42"/>
      <c r="FT20" s="42"/>
      <c r="FU20" s="42"/>
      <c r="FV20" s="42"/>
      <c r="FW20" s="42"/>
      <c r="FX20" s="42"/>
      <c r="FY20" s="42"/>
      <c r="FZ20" s="42"/>
      <c r="GA20" s="42"/>
      <c r="GB20" s="42"/>
      <c r="GC20" s="42"/>
      <c r="GD20" s="42"/>
      <c r="GE20" s="42"/>
      <c r="GF20" s="42"/>
      <c r="GG20" s="42"/>
      <c r="GH20" s="42"/>
      <c r="GI20" s="42"/>
      <c r="GJ20" s="42"/>
      <c r="GK20" s="42"/>
      <c r="GL20" s="42"/>
      <c r="GM20" s="42"/>
      <c r="GN20" s="42"/>
      <c r="GO20" s="42"/>
      <c r="GP20" s="42"/>
      <c r="GQ20" s="42"/>
      <c r="GR20" s="42"/>
      <c r="GS20" s="42"/>
      <c r="GT20" s="42"/>
      <c r="GU20" s="42"/>
      <c r="GV20" s="42"/>
      <c r="GW20" s="42"/>
      <c r="GX20" s="42"/>
      <c r="GY20" s="42"/>
      <c r="GZ20" s="42"/>
      <c r="HA20" s="42"/>
      <c r="HB20" s="42"/>
      <c r="HC20" s="42"/>
      <c r="HD20" s="42"/>
      <c r="HE20" s="42"/>
      <c r="HF20" s="42"/>
      <c r="HG20" s="42"/>
      <c r="HH20" s="42"/>
      <c r="HI20" s="42"/>
      <c r="HJ20" s="42"/>
      <c r="HK20" s="42"/>
      <c r="HL20" s="42"/>
      <c r="HM20" s="42"/>
      <c r="HN20" s="42"/>
      <c r="HO20" s="42"/>
      <c r="HP20" s="42"/>
      <c r="HQ20" s="42"/>
      <c r="HR20" s="42"/>
      <c r="HS20" s="42"/>
      <c r="HT20" s="42"/>
      <c r="HU20" s="42"/>
      <c r="HV20" s="42"/>
      <c r="HW20" s="42"/>
      <c r="HX20" s="42"/>
      <c r="HY20" s="42"/>
      <c r="HZ20" s="42"/>
      <c r="IA20" s="42"/>
      <c r="IB20" s="42"/>
      <c r="IC20" s="42"/>
      <c r="ID20" s="42"/>
      <c r="IE20" s="42"/>
      <c r="IF20" s="42"/>
      <c r="IG20" s="42"/>
      <c r="IH20" s="42"/>
      <c r="II20" s="42"/>
      <c r="IJ20" s="42"/>
      <c r="IK20" s="42"/>
      <c r="IL20" s="42"/>
      <c r="IM20" s="42"/>
      <c r="IN20" s="42"/>
      <c r="IO20" s="42"/>
      <c r="IP20" s="42"/>
      <c r="IQ20" s="42"/>
      <c r="IR20" s="42"/>
      <c r="IS20" s="42"/>
      <c r="IT20" s="42"/>
      <c r="IU20" s="42"/>
      <c r="IV20" s="42"/>
      <c r="IW20" s="42"/>
    </row>
    <row r="21" customFormat="false" ht="21" hidden="false" customHeight="true" outlineLevel="0" collapsed="false">
      <c r="A21" s="47" t="n">
        <v>14</v>
      </c>
      <c r="B21" s="45" t="s">
        <v>121</v>
      </c>
      <c r="C21" s="45"/>
      <c r="D21" s="28" t="n">
        <v>13</v>
      </c>
      <c r="E21" s="28" t="n">
        <v>27</v>
      </c>
      <c r="F21" s="28" t="n">
        <v>27</v>
      </c>
      <c r="G21" s="28" t="n">
        <v>115</v>
      </c>
      <c r="J21" s="7"/>
      <c r="K21" s="7"/>
      <c r="L21" s="7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2"/>
      <c r="CL21" s="42"/>
      <c r="CM21" s="42"/>
      <c r="CN21" s="42"/>
      <c r="CO21" s="42"/>
      <c r="CP21" s="42"/>
      <c r="CQ21" s="42"/>
      <c r="CR21" s="42"/>
      <c r="CS21" s="42"/>
      <c r="CT21" s="42"/>
      <c r="CU21" s="42"/>
      <c r="CV21" s="42"/>
      <c r="CW21" s="42"/>
      <c r="CX21" s="42"/>
      <c r="CY21" s="42"/>
      <c r="CZ21" s="42"/>
      <c r="DA21" s="42"/>
      <c r="DB21" s="42"/>
      <c r="DC21" s="42"/>
      <c r="DD21" s="42"/>
      <c r="DE21" s="42"/>
      <c r="DF21" s="42"/>
      <c r="DG21" s="42"/>
      <c r="DH21" s="42"/>
      <c r="DI21" s="42"/>
      <c r="DJ21" s="42"/>
      <c r="DK21" s="42"/>
      <c r="DL21" s="42"/>
      <c r="DM21" s="42"/>
      <c r="DN21" s="42"/>
      <c r="DO21" s="42"/>
      <c r="DP21" s="42"/>
      <c r="DQ21" s="42"/>
      <c r="DR21" s="42"/>
      <c r="DS21" s="42"/>
      <c r="DT21" s="42"/>
      <c r="DU21" s="42"/>
      <c r="DV21" s="42"/>
      <c r="DW21" s="42"/>
      <c r="DX21" s="42"/>
      <c r="DY21" s="42"/>
      <c r="DZ21" s="42"/>
      <c r="EA21" s="42"/>
      <c r="EB21" s="42"/>
      <c r="EC21" s="42"/>
      <c r="ED21" s="42"/>
      <c r="EE21" s="42"/>
      <c r="EF21" s="42"/>
      <c r="EG21" s="42"/>
      <c r="EH21" s="42"/>
      <c r="EI21" s="42"/>
      <c r="EJ21" s="42"/>
      <c r="EK21" s="42"/>
      <c r="EL21" s="42"/>
      <c r="EM21" s="42"/>
      <c r="EN21" s="42"/>
      <c r="EO21" s="42"/>
      <c r="EP21" s="42"/>
      <c r="EQ21" s="42"/>
      <c r="ER21" s="42"/>
      <c r="ES21" s="42"/>
      <c r="ET21" s="42"/>
      <c r="EU21" s="42"/>
      <c r="EV21" s="42"/>
      <c r="EW21" s="42"/>
      <c r="EX21" s="42"/>
      <c r="EY21" s="42"/>
      <c r="EZ21" s="42"/>
      <c r="FA21" s="42"/>
      <c r="FB21" s="42"/>
      <c r="FC21" s="42"/>
      <c r="FD21" s="42"/>
      <c r="FE21" s="42"/>
      <c r="FF21" s="42"/>
      <c r="FG21" s="42"/>
      <c r="FH21" s="42"/>
      <c r="FI21" s="42"/>
      <c r="FJ21" s="42"/>
      <c r="FK21" s="42"/>
      <c r="FL21" s="42"/>
      <c r="FM21" s="42"/>
      <c r="FN21" s="42"/>
      <c r="FO21" s="42"/>
      <c r="FP21" s="42"/>
      <c r="FQ21" s="42"/>
      <c r="FR21" s="42"/>
      <c r="FS21" s="42"/>
      <c r="FT21" s="42"/>
      <c r="FU21" s="42"/>
      <c r="FV21" s="42"/>
      <c r="FW21" s="42"/>
      <c r="FX21" s="42"/>
      <c r="FY21" s="42"/>
      <c r="FZ21" s="42"/>
      <c r="GA21" s="42"/>
      <c r="GB21" s="42"/>
      <c r="GC21" s="42"/>
      <c r="GD21" s="42"/>
      <c r="GE21" s="42"/>
      <c r="GF21" s="42"/>
      <c r="GG21" s="42"/>
      <c r="GH21" s="42"/>
      <c r="GI21" s="42"/>
      <c r="GJ21" s="42"/>
      <c r="GK21" s="42"/>
      <c r="GL21" s="42"/>
      <c r="GM21" s="42"/>
      <c r="GN21" s="42"/>
      <c r="GO21" s="42"/>
      <c r="GP21" s="42"/>
      <c r="GQ21" s="42"/>
      <c r="GR21" s="42"/>
      <c r="GS21" s="42"/>
      <c r="GT21" s="42"/>
      <c r="GU21" s="42"/>
      <c r="GV21" s="42"/>
      <c r="GW21" s="42"/>
      <c r="GX21" s="42"/>
      <c r="GY21" s="42"/>
      <c r="GZ21" s="42"/>
      <c r="HA21" s="42"/>
      <c r="HB21" s="42"/>
      <c r="HC21" s="42"/>
      <c r="HD21" s="42"/>
      <c r="HE21" s="42"/>
      <c r="HF21" s="42"/>
      <c r="HG21" s="42"/>
      <c r="HH21" s="42"/>
      <c r="HI21" s="42"/>
      <c r="HJ21" s="42"/>
      <c r="HK21" s="42"/>
      <c r="HL21" s="42"/>
      <c r="HM21" s="42"/>
      <c r="HN21" s="42"/>
      <c r="HO21" s="42"/>
      <c r="HP21" s="42"/>
      <c r="HQ21" s="42"/>
      <c r="HR21" s="42"/>
      <c r="HS21" s="42"/>
      <c r="HT21" s="42"/>
      <c r="HU21" s="42"/>
      <c r="HV21" s="42"/>
      <c r="HW21" s="42"/>
      <c r="HX21" s="42"/>
      <c r="HY21" s="42"/>
      <c r="HZ21" s="42"/>
      <c r="IA21" s="42"/>
      <c r="IB21" s="42"/>
      <c r="IC21" s="42"/>
      <c r="ID21" s="42"/>
      <c r="IE21" s="42"/>
      <c r="IF21" s="42"/>
      <c r="IG21" s="42"/>
      <c r="IH21" s="42"/>
      <c r="II21" s="42"/>
      <c r="IJ21" s="42"/>
      <c r="IK21" s="42"/>
      <c r="IL21" s="42"/>
      <c r="IM21" s="42"/>
      <c r="IN21" s="42"/>
      <c r="IO21" s="42"/>
      <c r="IP21" s="42"/>
      <c r="IQ21" s="42"/>
      <c r="IR21" s="42"/>
      <c r="IS21" s="42"/>
      <c r="IT21" s="42"/>
      <c r="IU21" s="42"/>
      <c r="IV21" s="42"/>
      <c r="IW21" s="42"/>
    </row>
    <row r="22" customFormat="false" ht="21" hidden="false" customHeight="true" outlineLevel="0" collapsed="false">
      <c r="A22" s="47" t="s">
        <v>88</v>
      </c>
      <c r="B22" s="47"/>
      <c r="C22" s="47"/>
      <c r="D22" s="48" t="n">
        <f aca="false">SUM(D8:D21)</f>
        <v>17117</v>
      </c>
      <c r="E22" s="48" t="n">
        <f aca="false">SUM(E8:E21)</f>
        <v>27161</v>
      </c>
      <c r="F22" s="48" t="n">
        <f aca="false">SUM(F8:F21)</f>
        <v>1392091</v>
      </c>
      <c r="G22" s="48" t="n">
        <f aca="false">SUM(G8:G21)</f>
        <v>2140720</v>
      </c>
    </row>
    <row r="23" customFormat="false" ht="21" hidden="false" customHeight="true" outlineLevel="0" collapsed="false">
      <c r="A23" s="39" t="s">
        <v>106</v>
      </c>
      <c r="B23" s="39"/>
      <c r="C23" s="39"/>
      <c r="D23" s="39"/>
      <c r="E23" s="61"/>
      <c r="F23" s="61"/>
      <c r="G23" s="62"/>
      <c r="J23" s="7"/>
      <c r="K23" s="7"/>
      <c r="L23" s="7"/>
      <c r="M23" s="7"/>
      <c r="N23" s="7"/>
    </row>
    <row r="24" customFormat="false" ht="21" hidden="false" customHeight="true" outlineLevel="0" collapsed="false">
      <c r="A24" s="39" t="s">
        <v>82</v>
      </c>
      <c r="B24" s="39"/>
      <c r="C24" s="39"/>
      <c r="D24" s="39"/>
      <c r="E24" s="64"/>
      <c r="F24" s="64"/>
      <c r="G24" s="64"/>
      <c r="J24" s="7"/>
      <c r="K24" s="7"/>
      <c r="L24" s="7"/>
      <c r="M24" s="7"/>
      <c r="N24" s="7"/>
    </row>
    <row r="25" customFormat="false" ht="19.2" hidden="false" customHeight="false" outlineLevel="0" collapsed="false">
      <c r="A25" s="64"/>
      <c r="J25" s="7"/>
      <c r="K25" s="7"/>
      <c r="L25" s="7"/>
      <c r="M25" s="7"/>
      <c r="N25" s="7"/>
    </row>
    <row r="26" customFormat="false" ht="19.2" hidden="false" customHeight="false" outlineLevel="0" collapsed="false">
      <c r="A26" s="64"/>
      <c r="J26" s="7"/>
      <c r="K26" s="7"/>
      <c r="L26" s="7"/>
      <c r="M26" s="7"/>
      <c r="N26" s="7"/>
    </row>
    <row r="27" customFormat="false" ht="19.2" hidden="false" customHeight="false" outlineLevel="0" collapsed="false">
      <c r="A27" s="64"/>
      <c r="J27" s="7"/>
      <c r="K27" s="7"/>
      <c r="L27" s="7"/>
      <c r="M27" s="7"/>
      <c r="N27" s="7"/>
    </row>
    <row r="28" customFormat="false" ht="19.2" hidden="false" customHeight="false" outlineLevel="0" collapsed="false">
      <c r="A28" s="64"/>
    </row>
  </sheetData>
  <mergeCells count="24">
    <mergeCell ref="F1:G1"/>
    <mergeCell ref="B3:C3"/>
    <mergeCell ref="B4:G4"/>
    <mergeCell ref="A6:A7"/>
    <mergeCell ref="B6:C7"/>
    <mergeCell ref="D6:E6"/>
    <mergeCell ref="F6:G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2:C22"/>
    <mergeCell ref="A23:D23"/>
    <mergeCell ref="A24:D24"/>
  </mergeCells>
  <printOptions headings="true" gridLines="false" gridLinesSet="true" horizontalCentered="false" verticalCentered="false"/>
  <pageMargins left="0.7" right="0.7" top="0.75" bottom="0.75" header="0.511811023622047" footer="0.511811023622047"/>
  <pageSetup paperSize="9" scale="1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9"/>
  <sheetViews>
    <sheetView showFormulas="false" showGridLines="false" showRowColHeaders="true" showZeros="true" rightToLeft="false" tabSelected="false" showOutlineSymbols="true" defaultGridColor="true" view="pageBreakPreview" topLeftCell="A1" colorId="64" zoomScale="85" zoomScaleNormal="100" zoomScalePageLayoutView="85" workbookViewId="0">
      <selection pane="topLeft" activeCell="K1" activeCellId="0" sqref="K1"/>
    </sheetView>
  </sheetViews>
  <sheetFormatPr defaultColWidth="9.1015625" defaultRowHeight="19.2" customHeight="false" zeroHeight="false" outlineLevelRow="0" outlineLevelCol="0"/>
  <cols>
    <col collapsed="false" customWidth="false" hidden="false" outlineLevel="0" max="1" min="1" style="4" width="9.1"/>
    <col collapsed="false" customWidth="true" hidden="false" outlineLevel="0" max="2" min="2" style="50" width="40.66"/>
    <col collapsed="false" customWidth="true" hidden="false" outlineLevel="0" max="12" min="3" style="4" width="18.66"/>
    <col collapsed="false" customWidth="false" hidden="false" outlineLevel="0" max="13" min="13" style="7" width="9.1"/>
    <col collapsed="false" customWidth="true" hidden="false" outlineLevel="0" max="14" min="14" style="7" width="11.66"/>
    <col collapsed="false" customWidth="true" hidden="false" outlineLevel="0" max="15" min="15" style="7" width="14.1"/>
    <col collapsed="false" customWidth="true" hidden="false" outlineLevel="0" max="16" min="16" style="7" width="11.43"/>
    <col collapsed="false" customWidth="false" hidden="false" outlineLevel="0" max="17" min="17" style="7" width="9.1"/>
    <col collapsed="false" customWidth="true" hidden="false" outlineLevel="0" max="18" min="18" style="7" width="0.33"/>
    <col collapsed="false" customWidth="false" hidden="true" outlineLevel="0" max="20" min="19" style="7" width="9.1"/>
    <col collapsed="false" customWidth="false" hidden="false" outlineLevel="0" max="257" min="21" style="7" width="9.1"/>
  </cols>
  <sheetData>
    <row r="1" customFormat="false" ht="21" hidden="false" customHeight="true" outlineLevel="0" collapsed="false">
      <c r="K1" s="17" t="s">
        <v>17</v>
      </c>
      <c r="L1" s="17"/>
    </row>
    <row r="2" customFormat="false" ht="21" hidden="false" customHeight="true" outlineLevel="0" collapsed="false"/>
    <row r="3" customFormat="false" ht="21" hidden="false" customHeight="true" outlineLevel="0" collapsed="false">
      <c r="B3" s="17"/>
      <c r="C3" s="17"/>
      <c r="D3" s="51"/>
      <c r="E3" s="52"/>
      <c r="F3" s="51"/>
      <c r="G3" s="51"/>
      <c r="H3" s="51"/>
      <c r="I3" s="51"/>
      <c r="J3" s="51"/>
      <c r="K3" s="66"/>
      <c r="L3" s="66"/>
      <c r="M3" s="5"/>
      <c r="N3" s="5"/>
      <c r="O3" s="18"/>
      <c r="P3" s="18"/>
      <c r="Q3" s="18"/>
    </row>
    <row r="4" customFormat="false" ht="54.75" hidden="false" customHeight="true" outlineLevel="0" collapsed="false">
      <c r="A4" s="65" t="s">
        <v>122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42"/>
      <c r="N4" s="42"/>
      <c r="O4" s="42"/>
      <c r="P4" s="67"/>
      <c r="Q4" s="67"/>
    </row>
    <row r="5" customFormat="false" ht="21" hidden="false" customHeight="true" outlineLevel="0" collapsed="false">
      <c r="B5" s="68"/>
      <c r="C5" s="68"/>
      <c r="D5" s="68"/>
      <c r="E5" s="68"/>
      <c r="F5" s="51"/>
      <c r="G5" s="51"/>
      <c r="H5" s="51"/>
      <c r="I5" s="51"/>
      <c r="J5" s="51"/>
      <c r="K5" s="51"/>
      <c r="L5" s="51"/>
      <c r="M5" s="42"/>
      <c r="N5" s="42"/>
      <c r="O5" s="42"/>
      <c r="P5" s="22"/>
      <c r="Q5" s="22"/>
    </row>
    <row r="6" customFormat="false" ht="21" hidden="false" customHeight="true" outlineLevel="0" collapsed="false">
      <c r="A6" s="44" t="s">
        <v>19</v>
      </c>
      <c r="B6" s="69" t="s">
        <v>123</v>
      </c>
      <c r="C6" s="24" t="s">
        <v>124</v>
      </c>
      <c r="D6" s="24"/>
      <c r="E6" s="24" t="s">
        <v>125</v>
      </c>
      <c r="F6" s="24"/>
      <c r="G6" s="24" t="s">
        <v>126</v>
      </c>
      <c r="H6" s="24"/>
      <c r="I6" s="24" t="s">
        <v>127</v>
      </c>
      <c r="J6" s="24"/>
      <c r="K6" s="24" t="s">
        <v>128</v>
      </c>
      <c r="L6" s="24"/>
      <c r="M6" s="42"/>
      <c r="N6" s="42"/>
      <c r="O6" s="42"/>
      <c r="P6" s="42"/>
      <c r="Q6" s="42"/>
    </row>
    <row r="7" customFormat="false" ht="21" hidden="false" customHeight="true" outlineLevel="0" collapsed="false">
      <c r="A7" s="44"/>
      <c r="B7" s="69"/>
      <c r="C7" s="57" t="s">
        <v>89</v>
      </c>
      <c r="D7" s="57" t="s">
        <v>90</v>
      </c>
      <c r="E7" s="57" t="s">
        <v>89</v>
      </c>
      <c r="F7" s="57" t="s">
        <v>90</v>
      </c>
      <c r="G7" s="57" t="s">
        <v>89</v>
      </c>
      <c r="H7" s="57" t="s">
        <v>90</v>
      </c>
      <c r="I7" s="57" t="s">
        <v>89</v>
      </c>
      <c r="J7" s="57" t="s">
        <v>90</v>
      </c>
      <c r="K7" s="57" t="s">
        <v>89</v>
      </c>
      <c r="L7" s="57" t="s">
        <v>90</v>
      </c>
      <c r="M7" s="42"/>
      <c r="N7" s="42"/>
      <c r="O7" s="42"/>
      <c r="P7" s="42"/>
      <c r="Q7" s="42"/>
    </row>
    <row r="8" customFormat="false" ht="21" hidden="false" customHeight="true" outlineLevel="0" collapsed="false">
      <c r="A8" s="47" t="n">
        <v>1</v>
      </c>
      <c r="B8" s="69" t="s">
        <v>33</v>
      </c>
      <c r="C8" s="27" t="n">
        <v>2512</v>
      </c>
      <c r="D8" s="27" t="n">
        <v>228157</v>
      </c>
      <c r="E8" s="27" t="n">
        <v>364</v>
      </c>
      <c r="F8" s="27" t="n">
        <v>26647</v>
      </c>
      <c r="G8" s="70" t="s">
        <v>34</v>
      </c>
      <c r="H8" s="70" t="s">
        <v>34</v>
      </c>
      <c r="I8" s="70" t="s">
        <v>34</v>
      </c>
      <c r="J8" s="70" t="s">
        <v>34</v>
      </c>
      <c r="K8" s="27" t="n">
        <v>164</v>
      </c>
      <c r="L8" s="27" t="n">
        <v>17257</v>
      </c>
      <c r="M8" s="42"/>
      <c r="N8" s="42"/>
      <c r="O8" s="42"/>
      <c r="P8" s="42"/>
      <c r="Q8" s="42"/>
    </row>
    <row r="9" customFormat="false" ht="21" hidden="false" customHeight="true" outlineLevel="0" collapsed="false">
      <c r="A9" s="47" t="n">
        <v>2</v>
      </c>
      <c r="B9" s="69" t="s">
        <v>108</v>
      </c>
      <c r="C9" s="28" t="n">
        <v>11808</v>
      </c>
      <c r="D9" s="28" t="n">
        <v>1333681</v>
      </c>
      <c r="E9" s="28" t="n">
        <v>6656</v>
      </c>
      <c r="F9" s="28" t="n">
        <v>603252</v>
      </c>
      <c r="G9" s="71" t="s">
        <v>34</v>
      </c>
      <c r="H9" s="71" t="s">
        <v>34</v>
      </c>
      <c r="I9" s="71" t="s">
        <v>34</v>
      </c>
      <c r="J9" s="71" t="s">
        <v>34</v>
      </c>
      <c r="K9" s="28" t="n">
        <v>5395</v>
      </c>
      <c r="L9" s="28" t="n">
        <v>628095</v>
      </c>
      <c r="M9" s="42"/>
      <c r="N9" s="42"/>
      <c r="O9" s="42"/>
      <c r="P9" s="42"/>
      <c r="Q9" s="42"/>
    </row>
    <row r="10" customFormat="false" ht="21" hidden="false" customHeight="true" outlineLevel="0" collapsed="false">
      <c r="A10" s="47" t="n">
        <v>3</v>
      </c>
      <c r="B10" s="69" t="s">
        <v>129</v>
      </c>
      <c r="C10" s="27" t="n">
        <v>3071</v>
      </c>
      <c r="D10" s="27" t="n">
        <v>294202</v>
      </c>
      <c r="E10" s="27" t="n">
        <v>690</v>
      </c>
      <c r="F10" s="27" t="n">
        <v>56155</v>
      </c>
      <c r="G10" s="70" t="s">
        <v>34</v>
      </c>
      <c r="H10" s="70" t="s">
        <v>34</v>
      </c>
      <c r="I10" s="70" t="s">
        <v>34</v>
      </c>
      <c r="J10" s="70" t="s">
        <v>34</v>
      </c>
      <c r="K10" s="70" t="s">
        <v>34</v>
      </c>
      <c r="L10" s="70" t="s">
        <v>34</v>
      </c>
      <c r="M10" s="42"/>
      <c r="N10" s="42"/>
      <c r="O10" s="42"/>
      <c r="P10" s="42"/>
      <c r="Q10" s="42"/>
    </row>
    <row r="11" customFormat="false" ht="21" hidden="false" customHeight="true" outlineLevel="0" collapsed="false">
      <c r="A11" s="47" t="n">
        <v>4</v>
      </c>
      <c r="B11" s="69" t="s">
        <v>130</v>
      </c>
      <c r="C11" s="28" t="n">
        <v>2064</v>
      </c>
      <c r="D11" s="28" t="n">
        <v>189760</v>
      </c>
      <c r="E11" s="28" t="n">
        <v>8</v>
      </c>
      <c r="F11" s="28" t="n">
        <v>263</v>
      </c>
      <c r="G11" s="71" t="s">
        <v>34</v>
      </c>
      <c r="H11" s="71" t="s">
        <v>34</v>
      </c>
      <c r="I11" s="71" t="s">
        <v>34</v>
      </c>
      <c r="J11" s="71" t="s">
        <v>34</v>
      </c>
      <c r="K11" s="71" t="s">
        <v>34</v>
      </c>
      <c r="L11" s="71" t="s">
        <v>34</v>
      </c>
      <c r="M11" s="42"/>
      <c r="N11" s="42"/>
      <c r="O11" s="42"/>
      <c r="P11" s="42"/>
      <c r="Q11" s="42"/>
    </row>
    <row r="12" customFormat="false" ht="21" hidden="false" customHeight="true" outlineLevel="0" collapsed="false">
      <c r="A12" s="47" t="n">
        <v>5</v>
      </c>
      <c r="B12" s="69" t="s">
        <v>38</v>
      </c>
      <c r="C12" s="27" t="n">
        <v>3145</v>
      </c>
      <c r="D12" s="27" t="n">
        <v>293520</v>
      </c>
      <c r="E12" s="70" t="s">
        <v>34</v>
      </c>
      <c r="F12" s="70" t="s">
        <v>34</v>
      </c>
      <c r="G12" s="70" t="s">
        <v>34</v>
      </c>
      <c r="H12" s="70" t="s">
        <v>34</v>
      </c>
      <c r="I12" s="70" t="s">
        <v>34</v>
      </c>
      <c r="J12" s="70" t="s">
        <v>34</v>
      </c>
      <c r="K12" s="27" t="n">
        <v>126</v>
      </c>
      <c r="L12" s="27" t="n">
        <v>12720</v>
      </c>
      <c r="M12" s="42"/>
      <c r="N12" s="42"/>
      <c r="O12" s="42"/>
      <c r="P12" s="42"/>
      <c r="Q12" s="42"/>
    </row>
    <row r="13" customFormat="false" ht="21" hidden="false" customHeight="true" outlineLevel="0" collapsed="false">
      <c r="A13" s="47" t="n">
        <v>6</v>
      </c>
      <c r="B13" s="69" t="s">
        <v>131</v>
      </c>
      <c r="C13" s="28" t="n">
        <v>19296</v>
      </c>
      <c r="D13" s="28" t="n">
        <v>1792548</v>
      </c>
      <c r="E13" s="28" t="n">
        <v>12473</v>
      </c>
      <c r="F13" s="28" t="n">
        <v>1127564</v>
      </c>
      <c r="G13" s="71" t="s">
        <v>34</v>
      </c>
      <c r="H13" s="71" t="s">
        <v>34</v>
      </c>
      <c r="I13" s="28" t="n">
        <v>6</v>
      </c>
      <c r="J13" s="28" t="n">
        <v>0</v>
      </c>
      <c r="K13" s="28" t="n">
        <v>7112</v>
      </c>
      <c r="L13" s="28" t="n">
        <v>869744</v>
      </c>
      <c r="M13" s="42"/>
      <c r="N13" s="42"/>
      <c r="O13" s="42"/>
      <c r="P13" s="42"/>
      <c r="Q13" s="42"/>
    </row>
    <row r="14" customFormat="false" ht="21" hidden="false" customHeight="true" outlineLevel="0" collapsed="false">
      <c r="A14" s="47" t="n">
        <v>7</v>
      </c>
      <c r="B14" s="69" t="s">
        <v>113</v>
      </c>
      <c r="C14" s="27" t="n">
        <v>208</v>
      </c>
      <c r="D14" s="27" t="n">
        <v>12071</v>
      </c>
      <c r="E14" s="70" t="s">
        <v>34</v>
      </c>
      <c r="F14" s="70" t="s">
        <v>34</v>
      </c>
      <c r="G14" s="70" t="s">
        <v>34</v>
      </c>
      <c r="H14" s="70" t="s">
        <v>34</v>
      </c>
      <c r="I14" s="70" t="s">
        <v>34</v>
      </c>
      <c r="J14" s="70" t="s">
        <v>34</v>
      </c>
      <c r="K14" s="70" t="s">
        <v>34</v>
      </c>
      <c r="L14" s="70" t="s">
        <v>34</v>
      </c>
      <c r="M14" s="42"/>
      <c r="N14" s="42"/>
      <c r="O14" s="42"/>
      <c r="P14" s="42"/>
      <c r="Q14" s="42"/>
    </row>
    <row r="15" customFormat="false" ht="21" hidden="false" customHeight="true" outlineLevel="0" collapsed="false">
      <c r="A15" s="47" t="n">
        <v>8</v>
      </c>
      <c r="B15" s="69" t="s">
        <v>132</v>
      </c>
      <c r="C15" s="28" t="n">
        <v>3604</v>
      </c>
      <c r="D15" s="28" t="n">
        <v>364024</v>
      </c>
      <c r="E15" s="28" t="n">
        <v>1668</v>
      </c>
      <c r="F15" s="28" t="n">
        <v>140046</v>
      </c>
      <c r="G15" s="71" t="s">
        <v>34</v>
      </c>
      <c r="H15" s="71" t="s">
        <v>34</v>
      </c>
      <c r="I15" s="71" t="s">
        <v>34</v>
      </c>
      <c r="J15" s="71" t="s">
        <v>34</v>
      </c>
      <c r="K15" s="28" t="n">
        <v>168</v>
      </c>
      <c r="L15" s="28" t="n">
        <v>21278</v>
      </c>
      <c r="M15" s="42"/>
      <c r="N15" s="42"/>
      <c r="O15" s="42"/>
      <c r="P15" s="42"/>
      <c r="Q15" s="42"/>
    </row>
    <row r="16" customFormat="false" ht="21" hidden="false" customHeight="true" outlineLevel="0" collapsed="false">
      <c r="A16" s="47" t="n">
        <v>9</v>
      </c>
      <c r="B16" s="69" t="s">
        <v>115</v>
      </c>
      <c r="C16" s="27" t="n">
        <v>636</v>
      </c>
      <c r="D16" s="27" t="n">
        <v>39605</v>
      </c>
      <c r="E16" s="70" t="s">
        <v>34</v>
      </c>
      <c r="F16" s="70" t="s">
        <v>34</v>
      </c>
      <c r="G16" s="70" t="s">
        <v>34</v>
      </c>
      <c r="H16" s="70" t="s">
        <v>34</v>
      </c>
      <c r="I16" s="70" t="s">
        <v>34</v>
      </c>
      <c r="J16" s="70" t="s">
        <v>34</v>
      </c>
      <c r="K16" s="70" t="s">
        <v>34</v>
      </c>
      <c r="L16" s="70" t="s">
        <v>34</v>
      </c>
      <c r="M16" s="42"/>
      <c r="N16" s="42"/>
      <c r="O16" s="42"/>
      <c r="P16" s="42"/>
      <c r="Q16" s="42"/>
    </row>
    <row r="17" customFormat="false" ht="21" hidden="false" customHeight="true" outlineLevel="0" collapsed="false">
      <c r="A17" s="47" t="n">
        <v>10</v>
      </c>
      <c r="B17" s="69" t="s">
        <v>43</v>
      </c>
      <c r="C17" s="28" t="n">
        <v>3476</v>
      </c>
      <c r="D17" s="28" t="n">
        <v>347168</v>
      </c>
      <c r="E17" s="28" t="n">
        <v>602</v>
      </c>
      <c r="F17" s="28" t="n">
        <v>41044</v>
      </c>
      <c r="G17" s="71" t="s">
        <v>34</v>
      </c>
      <c r="H17" s="71" t="s">
        <v>34</v>
      </c>
      <c r="I17" s="71" t="s">
        <v>34</v>
      </c>
      <c r="J17" s="71" t="s">
        <v>34</v>
      </c>
      <c r="K17" s="28" t="n">
        <v>808</v>
      </c>
      <c r="L17" s="28" t="n">
        <v>98542</v>
      </c>
      <c r="M17" s="42"/>
      <c r="N17" s="42"/>
      <c r="O17" s="42"/>
      <c r="P17" s="42"/>
      <c r="Q17" s="42"/>
    </row>
    <row r="18" customFormat="false" ht="21" hidden="false" customHeight="true" outlineLevel="0" collapsed="false">
      <c r="A18" s="47" t="n">
        <v>11</v>
      </c>
      <c r="B18" s="69" t="s">
        <v>44</v>
      </c>
      <c r="C18" s="27" t="n">
        <v>11588</v>
      </c>
      <c r="D18" s="27" t="n">
        <v>985704</v>
      </c>
      <c r="E18" s="27" t="n">
        <v>4851</v>
      </c>
      <c r="F18" s="27" t="n">
        <v>437189</v>
      </c>
      <c r="G18" s="70" t="s">
        <v>34</v>
      </c>
      <c r="H18" s="70" t="s">
        <v>34</v>
      </c>
      <c r="I18" s="70" t="s">
        <v>34</v>
      </c>
      <c r="J18" s="70" t="s">
        <v>34</v>
      </c>
      <c r="K18" s="27" t="n">
        <v>2192</v>
      </c>
      <c r="L18" s="27" t="n">
        <v>262698</v>
      </c>
      <c r="M18" s="42"/>
      <c r="N18" s="42"/>
      <c r="O18" s="42"/>
      <c r="P18" s="42"/>
      <c r="Q18" s="42"/>
    </row>
    <row r="19" customFormat="false" ht="21" hidden="false" customHeight="true" outlineLevel="0" collapsed="false">
      <c r="A19" s="47" t="n">
        <v>12</v>
      </c>
      <c r="B19" s="69" t="s">
        <v>133</v>
      </c>
      <c r="C19" s="28" t="n">
        <v>4263</v>
      </c>
      <c r="D19" s="28" t="n">
        <v>371419</v>
      </c>
      <c r="E19" s="28" t="n">
        <v>704</v>
      </c>
      <c r="F19" s="28" t="n">
        <v>63082</v>
      </c>
      <c r="G19" s="71" t="s">
        <v>34</v>
      </c>
      <c r="H19" s="71" t="s">
        <v>34</v>
      </c>
      <c r="I19" s="71" t="s">
        <v>34</v>
      </c>
      <c r="J19" s="71" t="s">
        <v>34</v>
      </c>
      <c r="K19" s="28" t="n">
        <v>152</v>
      </c>
      <c r="L19" s="28" t="n">
        <v>14501</v>
      </c>
      <c r="M19" s="42"/>
      <c r="N19" s="42"/>
      <c r="O19" s="42"/>
      <c r="P19" s="42"/>
      <c r="Q19" s="42"/>
    </row>
    <row r="20" customFormat="false" ht="21" hidden="false" customHeight="true" outlineLevel="0" collapsed="false">
      <c r="A20" s="47" t="n">
        <v>13</v>
      </c>
      <c r="B20" s="69" t="s">
        <v>134</v>
      </c>
      <c r="C20" s="27" t="n">
        <v>478</v>
      </c>
      <c r="D20" s="27" t="n">
        <v>34900</v>
      </c>
      <c r="E20" s="27" t="n">
        <v>4</v>
      </c>
      <c r="F20" s="27" t="n">
        <v>258</v>
      </c>
      <c r="G20" s="70" t="s">
        <v>34</v>
      </c>
      <c r="H20" s="70" t="s">
        <v>34</v>
      </c>
      <c r="I20" s="70" t="s">
        <v>34</v>
      </c>
      <c r="J20" s="70" t="s">
        <v>34</v>
      </c>
      <c r="K20" s="70" t="s">
        <v>34</v>
      </c>
      <c r="L20" s="70" t="s">
        <v>34</v>
      </c>
      <c r="M20" s="42"/>
      <c r="N20" s="42"/>
      <c r="O20" s="42"/>
      <c r="P20" s="42"/>
      <c r="Q20" s="42"/>
    </row>
    <row r="21" customFormat="false" ht="21" hidden="false" customHeight="true" outlineLevel="0" collapsed="false">
      <c r="A21" s="47" t="n">
        <v>14</v>
      </c>
      <c r="B21" s="69" t="s">
        <v>47</v>
      </c>
      <c r="C21" s="28" t="n">
        <v>66650</v>
      </c>
      <c r="D21" s="28" t="n">
        <v>7645844</v>
      </c>
      <c r="E21" s="28" t="n">
        <v>17088</v>
      </c>
      <c r="F21" s="28" t="n">
        <v>1762055</v>
      </c>
      <c r="G21" s="71" t="s">
        <v>34</v>
      </c>
      <c r="H21" s="71" t="s">
        <v>34</v>
      </c>
      <c r="I21" s="71" t="s">
        <v>34</v>
      </c>
      <c r="J21" s="71" t="s">
        <v>34</v>
      </c>
      <c r="K21" s="28" t="n">
        <v>16320</v>
      </c>
      <c r="L21" s="28" t="n">
        <v>1985736</v>
      </c>
      <c r="M21" s="42"/>
      <c r="N21" s="42"/>
      <c r="O21" s="42"/>
      <c r="P21" s="42"/>
      <c r="Q21" s="42"/>
    </row>
    <row r="22" customFormat="false" ht="21" hidden="false" customHeight="true" outlineLevel="0" collapsed="false">
      <c r="A22" s="47" t="n">
        <v>15</v>
      </c>
      <c r="B22" s="69" t="s">
        <v>48</v>
      </c>
      <c r="C22" s="27" t="n">
        <v>10126</v>
      </c>
      <c r="D22" s="27" t="n">
        <v>805031</v>
      </c>
      <c r="E22" s="27" t="n">
        <v>2150</v>
      </c>
      <c r="F22" s="27" t="n">
        <v>199808</v>
      </c>
      <c r="G22" s="70" t="s">
        <v>34</v>
      </c>
      <c r="H22" s="70" t="s">
        <v>34</v>
      </c>
      <c r="I22" s="70" t="s">
        <v>34</v>
      </c>
      <c r="J22" s="70" t="s">
        <v>34</v>
      </c>
      <c r="K22" s="27" t="n">
        <v>2789</v>
      </c>
      <c r="L22" s="27" t="n">
        <v>331332</v>
      </c>
      <c r="M22" s="42"/>
      <c r="N22" s="42"/>
      <c r="O22" s="42"/>
      <c r="P22" s="42"/>
      <c r="Q22" s="42"/>
    </row>
    <row r="23" customFormat="false" ht="21" hidden="false" customHeight="true" outlineLevel="0" collapsed="false">
      <c r="A23" s="47" t="n">
        <v>16</v>
      </c>
      <c r="B23" s="69" t="s">
        <v>135</v>
      </c>
      <c r="C23" s="28" t="n">
        <v>233</v>
      </c>
      <c r="D23" s="28" t="n">
        <v>6329</v>
      </c>
      <c r="E23" s="71" t="s">
        <v>34</v>
      </c>
      <c r="F23" s="71" t="s">
        <v>34</v>
      </c>
      <c r="G23" s="71" t="s">
        <v>34</v>
      </c>
      <c r="H23" s="71" t="s">
        <v>34</v>
      </c>
      <c r="I23" s="71" t="s">
        <v>34</v>
      </c>
      <c r="J23" s="71" t="s">
        <v>34</v>
      </c>
      <c r="K23" s="71" t="s">
        <v>34</v>
      </c>
      <c r="L23" s="71" t="s">
        <v>34</v>
      </c>
      <c r="M23" s="42"/>
      <c r="N23" s="42"/>
      <c r="O23" s="42"/>
      <c r="P23" s="42"/>
      <c r="Q23" s="42"/>
    </row>
    <row r="24" customFormat="false" ht="21" hidden="false" customHeight="true" outlineLevel="0" collapsed="false">
      <c r="A24" s="47" t="n">
        <v>17</v>
      </c>
      <c r="B24" s="69" t="s">
        <v>136</v>
      </c>
      <c r="C24" s="27" t="n">
        <v>2344</v>
      </c>
      <c r="D24" s="27" t="n">
        <v>232680</v>
      </c>
      <c r="E24" s="27" t="n">
        <v>248</v>
      </c>
      <c r="F24" s="27" t="n">
        <v>13688</v>
      </c>
      <c r="G24" s="70" t="s">
        <v>34</v>
      </c>
      <c r="H24" s="70" t="s">
        <v>34</v>
      </c>
      <c r="I24" s="70" t="s">
        <v>34</v>
      </c>
      <c r="J24" s="70" t="s">
        <v>34</v>
      </c>
      <c r="K24" s="70" t="s">
        <v>34</v>
      </c>
      <c r="L24" s="70" t="s">
        <v>34</v>
      </c>
      <c r="M24" s="42"/>
      <c r="N24" s="42"/>
      <c r="O24" s="42"/>
      <c r="P24" s="42"/>
      <c r="Q24" s="42"/>
    </row>
    <row r="25" customFormat="false" ht="21" hidden="false" customHeight="true" outlineLevel="0" collapsed="false">
      <c r="A25" s="47" t="n">
        <v>18</v>
      </c>
      <c r="B25" s="69" t="s">
        <v>137</v>
      </c>
      <c r="C25" s="28" t="n">
        <v>647</v>
      </c>
      <c r="D25" s="28" t="n">
        <v>60812</v>
      </c>
      <c r="E25" s="28"/>
      <c r="F25" s="28"/>
      <c r="G25" s="71" t="s">
        <v>34</v>
      </c>
      <c r="H25" s="71" t="s">
        <v>34</v>
      </c>
      <c r="I25" s="71" t="s">
        <v>34</v>
      </c>
      <c r="J25" s="71" t="s">
        <v>34</v>
      </c>
      <c r="K25" s="71" t="s">
        <v>34</v>
      </c>
      <c r="L25" s="71" t="s">
        <v>34</v>
      </c>
      <c r="M25" s="42"/>
      <c r="N25" s="42"/>
      <c r="O25" s="42"/>
      <c r="P25" s="42"/>
      <c r="Q25" s="42"/>
    </row>
    <row r="26" customFormat="false" ht="21" hidden="false" customHeight="true" outlineLevel="0" collapsed="false">
      <c r="A26" s="47" t="n">
        <v>19</v>
      </c>
      <c r="B26" s="69" t="s">
        <v>138</v>
      </c>
      <c r="C26" s="27" t="n">
        <v>82044</v>
      </c>
      <c r="D26" s="27" t="n">
        <v>9078360</v>
      </c>
      <c r="E26" s="27" t="n">
        <v>28128</v>
      </c>
      <c r="F26" s="27" t="n">
        <v>2766426</v>
      </c>
      <c r="G26" s="70" t="s">
        <v>34</v>
      </c>
      <c r="H26" s="70" t="s">
        <v>34</v>
      </c>
      <c r="I26" s="70" t="s">
        <v>34</v>
      </c>
      <c r="J26" s="70" t="s">
        <v>34</v>
      </c>
      <c r="K26" s="27" t="n">
        <v>16799</v>
      </c>
      <c r="L26" s="27" t="n">
        <v>2015108</v>
      </c>
      <c r="M26" s="42"/>
      <c r="N26" s="42"/>
      <c r="O26" s="42"/>
      <c r="P26" s="42"/>
      <c r="Q26" s="42"/>
    </row>
    <row r="27" customFormat="false" ht="21" hidden="false" customHeight="true" outlineLevel="0" collapsed="false">
      <c r="A27" s="47" t="n">
        <v>20</v>
      </c>
      <c r="B27" s="69" t="s">
        <v>53</v>
      </c>
      <c r="C27" s="28" t="n">
        <v>1792</v>
      </c>
      <c r="D27" s="28" t="n">
        <v>140783</v>
      </c>
      <c r="E27" s="71" t="s">
        <v>34</v>
      </c>
      <c r="F27" s="71" t="s">
        <v>34</v>
      </c>
      <c r="G27" s="71" t="s">
        <v>34</v>
      </c>
      <c r="H27" s="71" t="s">
        <v>34</v>
      </c>
      <c r="I27" s="71" t="s">
        <v>34</v>
      </c>
      <c r="J27" s="71" t="s">
        <v>34</v>
      </c>
      <c r="K27" s="71" t="s">
        <v>34</v>
      </c>
      <c r="L27" s="71" t="s">
        <v>34</v>
      </c>
      <c r="M27" s="42"/>
      <c r="N27" s="42"/>
      <c r="O27" s="42"/>
      <c r="P27" s="42"/>
      <c r="Q27" s="42"/>
    </row>
    <row r="28" customFormat="false" ht="21" hidden="false" customHeight="true" outlineLevel="0" collapsed="false">
      <c r="A28" s="47" t="n">
        <v>21</v>
      </c>
      <c r="B28" s="69" t="s">
        <v>54</v>
      </c>
      <c r="C28" s="27" t="n">
        <v>4046</v>
      </c>
      <c r="D28" s="27" t="n">
        <v>368512</v>
      </c>
      <c r="E28" s="27" t="n">
        <v>1410</v>
      </c>
      <c r="F28" s="27" t="n">
        <v>126426</v>
      </c>
      <c r="G28" s="70" t="s">
        <v>34</v>
      </c>
      <c r="H28" s="70" t="s">
        <v>34</v>
      </c>
      <c r="I28" s="70" t="s">
        <v>34</v>
      </c>
      <c r="J28" s="70" t="s">
        <v>34</v>
      </c>
      <c r="K28" s="27" t="n">
        <v>302</v>
      </c>
      <c r="L28" s="27" t="n">
        <v>38749</v>
      </c>
      <c r="M28" s="42"/>
      <c r="N28" s="42"/>
      <c r="O28" s="42"/>
      <c r="P28" s="42"/>
      <c r="Q28" s="42"/>
    </row>
    <row r="29" customFormat="false" ht="21" hidden="false" customHeight="true" outlineLevel="0" collapsed="false">
      <c r="A29" s="47" t="n">
        <v>22</v>
      </c>
      <c r="B29" s="69" t="s">
        <v>139</v>
      </c>
      <c r="C29" s="28" t="n">
        <v>640</v>
      </c>
      <c r="D29" s="28" t="n">
        <v>54542</v>
      </c>
      <c r="E29" s="71" t="s">
        <v>34</v>
      </c>
      <c r="F29" s="71" t="s">
        <v>34</v>
      </c>
      <c r="G29" s="71" t="s">
        <v>34</v>
      </c>
      <c r="H29" s="71" t="s">
        <v>34</v>
      </c>
      <c r="I29" s="71" t="s">
        <v>34</v>
      </c>
      <c r="J29" s="71" t="s">
        <v>34</v>
      </c>
      <c r="K29" s="71" t="s">
        <v>34</v>
      </c>
      <c r="L29" s="71" t="s">
        <v>34</v>
      </c>
      <c r="M29" s="42"/>
      <c r="N29" s="42"/>
      <c r="O29" s="42"/>
      <c r="P29" s="42"/>
      <c r="Q29" s="42"/>
    </row>
    <row r="30" customFormat="false" ht="21" hidden="false" customHeight="true" outlineLevel="0" collapsed="false">
      <c r="A30" s="47" t="n">
        <v>23</v>
      </c>
      <c r="B30" s="69" t="s">
        <v>140</v>
      </c>
      <c r="C30" s="27" t="n">
        <v>7609</v>
      </c>
      <c r="D30" s="27" t="n">
        <v>661606</v>
      </c>
      <c r="E30" s="27" t="n">
        <v>1884</v>
      </c>
      <c r="F30" s="27" t="n">
        <v>173967</v>
      </c>
      <c r="G30" s="70" t="s">
        <v>34</v>
      </c>
      <c r="H30" s="70" t="s">
        <v>34</v>
      </c>
      <c r="I30" s="70" t="s">
        <v>34</v>
      </c>
      <c r="J30" s="70" t="s">
        <v>34</v>
      </c>
      <c r="K30" s="27" t="n">
        <v>1830</v>
      </c>
      <c r="L30" s="27" t="n">
        <v>222125</v>
      </c>
      <c r="M30" s="42"/>
      <c r="N30" s="42"/>
      <c r="O30" s="42"/>
      <c r="P30" s="42"/>
      <c r="Q30" s="42"/>
    </row>
    <row r="31" customFormat="false" ht="21" hidden="false" customHeight="true" outlineLevel="0" collapsed="false">
      <c r="A31" s="47" t="n">
        <v>24</v>
      </c>
      <c r="B31" s="69" t="s">
        <v>141</v>
      </c>
      <c r="C31" s="28" t="n">
        <v>1064</v>
      </c>
      <c r="D31" s="28" t="n">
        <v>67874</v>
      </c>
      <c r="E31" s="28" t="n">
        <v>152</v>
      </c>
      <c r="F31" s="28" t="n">
        <v>7024</v>
      </c>
      <c r="G31" s="71" t="s">
        <v>34</v>
      </c>
      <c r="H31" s="71" t="s">
        <v>34</v>
      </c>
      <c r="I31" s="71" t="s">
        <v>34</v>
      </c>
      <c r="J31" s="71" t="s">
        <v>34</v>
      </c>
      <c r="K31" s="71" t="s">
        <v>34</v>
      </c>
      <c r="L31" s="71" t="s">
        <v>34</v>
      </c>
      <c r="M31" s="42"/>
      <c r="N31" s="42"/>
      <c r="O31" s="42"/>
      <c r="P31" s="42"/>
      <c r="Q31" s="42"/>
    </row>
    <row r="32" customFormat="false" ht="21" hidden="false" customHeight="true" outlineLevel="0" collapsed="false">
      <c r="A32" s="47" t="n">
        <v>25</v>
      </c>
      <c r="B32" s="69" t="s">
        <v>58</v>
      </c>
      <c r="C32" s="27" t="n">
        <v>1966</v>
      </c>
      <c r="D32" s="27" t="n">
        <v>170935</v>
      </c>
      <c r="E32" s="27" t="n">
        <v>36</v>
      </c>
      <c r="F32" s="27" t="n">
        <v>2004</v>
      </c>
      <c r="G32" s="70" t="s">
        <v>34</v>
      </c>
      <c r="H32" s="70" t="s">
        <v>34</v>
      </c>
      <c r="I32" s="70" t="s">
        <v>34</v>
      </c>
      <c r="J32" s="70" t="s">
        <v>34</v>
      </c>
      <c r="K32" s="70" t="s">
        <v>34</v>
      </c>
      <c r="L32" s="70" t="s">
        <v>34</v>
      </c>
      <c r="M32" s="42"/>
      <c r="N32" s="42"/>
      <c r="O32" s="42"/>
      <c r="P32" s="42"/>
      <c r="Q32" s="42"/>
    </row>
    <row r="33" customFormat="false" ht="21" hidden="false" customHeight="true" outlineLevel="0" collapsed="false">
      <c r="A33" s="47" t="n">
        <v>26</v>
      </c>
      <c r="B33" s="69" t="s">
        <v>120</v>
      </c>
      <c r="C33" s="28" t="n">
        <v>912</v>
      </c>
      <c r="D33" s="28" t="n">
        <v>73465</v>
      </c>
      <c r="E33" s="71" t="s">
        <v>34</v>
      </c>
      <c r="F33" s="71" t="s">
        <v>34</v>
      </c>
      <c r="G33" s="71" t="s">
        <v>34</v>
      </c>
      <c r="H33" s="71" t="s">
        <v>34</v>
      </c>
      <c r="I33" s="71" t="s">
        <v>34</v>
      </c>
      <c r="J33" s="71" t="s">
        <v>34</v>
      </c>
      <c r="K33" s="71" t="s">
        <v>34</v>
      </c>
      <c r="L33" s="71" t="s">
        <v>34</v>
      </c>
      <c r="M33" s="42"/>
      <c r="N33" s="42"/>
      <c r="O33" s="42"/>
      <c r="P33" s="42"/>
      <c r="Q33" s="42"/>
    </row>
    <row r="34" customFormat="false" ht="21" hidden="false" customHeight="true" outlineLevel="0" collapsed="false">
      <c r="A34" s="47" t="n">
        <v>27</v>
      </c>
      <c r="B34" s="69" t="s">
        <v>97</v>
      </c>
      <c r="C34" s="27" t="n">
        <v>1692</v>
      </c>
      <c r="D34" s="27" t="n">
        <v>134800</v>
      </c>
      <c r="E34" s="27" t="n">
        <v>744</v>
      </c>
      <c r="F34" s="27" t="n">
        <v>45140</v>
      </c>
      <c r="G34" s="70" t="s">
        <v>34</v>
      </c>
      <c r="H34" s="70" t="s">
        <v>34</v>
      </c>
      <c r="I34" s="70" t="s">
        <v>34</v>
      </c>
      <c r="J34" s="70" t="s">
        <v>34</v>
      </c>
      <c r="K34" s="70" t="s">
        <v>34</v>
      </c>
      <c r="L34" s="70" t="s">
        <v>34</v>
      </c>
      <c r="M34" s="42"/>
      <c r="N34" s="42"/>
      <c r="O34" s="42"/>
      <c r="P34" s="42"/>
      <c r="Q34" s="42"/>
    </row>
    <row r="35" customFormat="false" ht="21" hidden="false" customHeight="true" outlineLevel="0" collapsed="false">
      <c r="A35" s="72" t="s">
        <v>142</v>
      </c>
      <c r="B35" s="72"/>
      <c r="C35" s="73" t="n">
        <f aca="false">SUM(C8:C34)</f>
        <v>247914</v>
      </c>
      <c r="D35" s="73" t="n">
        <f aca="false">SUM(D8:D34)</f>
        <v>25788332</v>
      </c>
      <c r="E35" s="73" t="n">
        <f aca="false">SUM(E8:E34)</f>
        <v>79860</v>
      </c>
      <c r="F35" s="73" t="n">
        <f aca="false">SUM(F8:F34)</f>
        <v>7592038</v>
      </c>
      <c r="G35" s="46" t="n">
        <f aca="false">SUM(G8:G34)</f>
        <v>0</v>
      </c>
      <c r="H35" s="46" t="n">
        <f aca="false">SUM(H8:H34)</f>
        <v>0</v>
      </c>
      <c r="I35" s="73" t="n">
        <f aca="false">SUM(I8:I34)</f>
        <v>6</v>
      </c>
      <c r="J35" s="73" t="n">
        <f aca="false">SUM(J8:J34)</f>
        <v>0</v>
      </c>
      <c r="K35" s="73" t="n">
        <f aca="false">SUM(K8:K34)</f>
        <v>54157</v>
      </c>
      <c r="L35" s="73" t="n">
        <f aca="false">SUM(L8:L34)</f>
        <v>6517885</v>
      </c>
      <c r="M35" s="42"/>
      <c r="N35" s="42"/>
      <c r="O35" s="42"/>
      <c r="P35" s="42"/>
      <c r="Q35" s="42"/>
    </row>
    <row r="36" customFormat="false" ht="54.75" hidden="false" customHeight="true" outlineLevel="0" collapsed="false">
      <c r="A36" s="65" t="s">
        <v>143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42"/>
      <c r="N36" s="42"/>
      <c r="O36" s="42"/>
      <c r="P36" s="67"/>
      <c r="Q36" s="67"/>
    </row>
    <row r="37" customFormat="false" ht="21" hidden="false" customHeight="true" outlineLevel="0" collapsed="false">
      <c r="B37" s="68"/>
      <c r="C37" s="68"/>
      <c r="D37" s="68"/>
      <c r="E37" s="68"/>
      <c r="F37" s="51"/>
      <c r="G37" s="51"/>
      <c r="H37" s="51"/>
      <c r="I37" s="51"/>
      <c r="J37" s="51"/>
      <c r="K37" s="51"/>
      <c r="L37" s="51"/>
      <c r="M37" s="42"/>
      <c r="N37" s="42"/>
      <c r="O37" s="42"/>
      <c r="P37" s="22"/>
      <c r="Q37" s="22"/>
    </row>
    <row r="38" customFormat="false" ht="21" hidden="false" customHeight="true" outlineLevel="0" collapsed="false">
      <c r="A38" s="44" t="s">
        <v>19</v>
      </c>
      <c r="B38" s="69" t="s">
        <v>123</v>
      </c>
      <c r="C38" s="24" t="s">
        <v>124</v>
      </c>
      <c r="D38" s="24"/>
      <c r="E38" s="24" t="s">
        <v>125</v>
      </c>
      <c r="F38" s="24"/>
      <c r="G38" s="24" t="s">
        <v>126</v>
      </c>
      <c r="H38" s="24"/>
      <c r="I38" s="24" t="s">
        <v>127</v>
      </c>
      <c r="J38" s="24"/>
      <c r="K38" s="24" t="s">
        <v>128</v>
      </c>
      <c r="L38" s="24"/>
      <c r="M38" s="42"/>
      <c r="N38" s="42"/>
      <c r="O38" s="42"/>
      <c r="P38" s="42"/>
      <c r="Q38" s="42"/>
    </row>
    <row r="39" customFormat="false" ht="21" hidden="false" customHeight="true" outlineLevel="0" collapsed="false">
      <c r="A39" s="44"/>
      <c r="B39" s="69"/>
      <c r="C39" s="57" t="s">
        <v>89</v>
      </c>
      <c r="D39" s="57" t="s">
        <v>90</v>
      </c>
      <c r="E39" s="57" t="s">
        <v>89</v>
      </c>
      <c r="F39" s="57" t="s">
        <v>90</v>
      </c>
      <c r="G39" s="57" t="s">
        <v>89</v>
      </c>
      <c r="H39" s="57" t="s">
        <v>90</v>
      </c>
      <c r="I39" s="57" t="s">
        <v>89</v>
      </c>
      <c r="J39" s="57" t="s">
        <v>90</v>
      </c>
      <c r="K39" s="57" t="s">
        <v>89</v>
      </c>
      <c r="L39" s="57" t="s">
        <v>90</v>
      </c>
      <c r="M39" s="42"/>
      <c r="N39" s="42"/>
      <c r="O39" s="42"/>
      <c r="P39" s="42"/>
      <c r="Q39" s="42"/>
    </row>
    <row r="40" customFormat="false" ht="21" hidden="false" customHeight="true" outlineLevel="0" collapsed="false">
      <c r="A40" s="47" t="n">
        <v>1</v>
      </c>
      <c r="B40" s="69" t="s">
        <v>33</v>
      </c>
      <c r="C40" s="27" t="n">
        <v>1574</v>
      </c>
      <c r="D40" s="27" t="n">
        <v>151508</v>
      </c>
      <c r="E40" s="27" t="n">
        <v>684</v>
      </c>
      <c r="F40" s="27" t="n">
        <v>50172</v>
      </c>
      <c r="G40" s="27" t="s">
        <v>34</v>
      </c>
      <c r="H40" s="27" t="s">
        <v>34</v>
      </c>
      <c r="I40" s="27" t="s">
        <v>34</v>
      </c>
      <c r="J40" s="27" t="s">
        <v>34</v>
      </c>
      <c r="K40" s="27" t="s">
        <v>34</v>
      </c>
      <c r="L40" s="27" t="s">
        <v>34</v>
      </c>
      <c r="M40" s="42"/>
      <c r="N40" s="42"/>
      <c r="O40" s="42"/>
      <c r="P40" s="42"/>
      <c r="Q40" s="42"/>
    </row>
    <row r="41" customFormat="false" ht="21" hidden="false" customHeight="true" outlineLevel="0" collapsed="false">
      <c r="A41" s="47" t="n">
        <v>2</v>
      </c>
      <c r="B41" s="69" t="s">
        <v>108</v>
      </c>
      <c r="C41" s="28" t="n">
        <v>7404</v>
      </c>
      <c r="D41" s="28" t="n">
        <v>900242</v>
      </c>
      <c r="E41" s="28" t="n">
        <v>4275</v>
      </c>
      <c r="F41" s="28" t="n">
        <v>435552</v>
      </c>
      <c r="G41" s="28" t="s">
        <v>34</v>
      </c>
      <c r="H41" s="28" t="s">
        <v>34</v>
      </c>
      <c r="I41" s="28" t="n">
        <v>156</v>
      </c>
      <c r="J41" s="28" t="n">
        <v>15823</v>
      </c>
      <c r="K41" s="28" t="n">
        <v>3474</v>
      </c>
      <c r="L41" s="28" t="n">
        <v>419685</v>
      </c>
      <c r="M41" s="42"/>
      <c r="N41" s="42"/>
      <c r="O41" s="42"/>
      <c r="P41" s="42"/>
      <c r="Q41" s="42"/>
    </row>
    <row r="42" customFormat="false" ht="21" hidden="false" customHeight="true" outlineLevel="0" collapsed="false">
      <c r="A42" s="47" t="n">
        <v>3</v>
      </c>
      <c r="B42" s="69" t="s">
        <v>144</v>
      </c>
      <c r="C42" s="27" t="n">
        <v>1872</v>
      </c>
      <c r="D42" s="27" t="n">
        <v>201574</v>
      </c>
      <c r="E42" s="27" t="n">
        <v>250</v>
      </c>
      <c r="F42" s="27" t="n">
        <v>18885</v>
      </c>
      <c r="G42" s="27" t="s">
        <v>34</v>
      </c>
      <c r="H42" s="27" t="s">
        <v>34</v>
      </c>
      <c r="I42" s="27" t="s">
        <v>34</v>
      </c>
      <c r="J42" s="27" t="s">
        <v>34</v>
      </c>
      <c r="K42" s="27" t="s">
        <v>34</v>
      </c>
      <c r="L42" s="27" t="s">
        <v>34</v>
      </c>
      <c r="M42" s="42"/>
      <c r="N42" s="42"/>
      <c r="O42" s="42"/>
      <c r="P42" s="42"/>
      <c r="Q42" s="42"/>
    </row>
    <row r="43" customFormat="false" ht="21" hidden="false" customHeight="true" outlineLevel="0" collapsed="false">
      <c r="A43" s="47" t="n">
        <v>4</v>
      </c>
      <c r="B43" s="69" t="s">
        <v>130</v>
      </c>
      <c r="C43" s="28" t="n">
        <v>984</v>
      </c>
      <c r="D43" s="28" t="n">
        <v>107287</v>
      </c>
      <c r="E43" s="28" t="n">
        <v>48</v>
      </c>
      <c r="F43" s="28" t="n">
        <v>3753</v>
      </c>
      <c r="G43" s="28" t="s">
        <v>34</v>
      </c>
      <c r="H43" s="28" t="s">
        <v>34</v>
      </c>
      <c r="I43" s="28" t="s">
        <v>34</v>
      </c>
      <c r="J43" s="28" t="s">
        <v>34</v>
      </c>
      <c r="K43" s="28" t="s">
        <v>34</v>
      </c>
      <c r="L43" s="28" t="s">
        <v>34</v>
      </c>
      <c r="M43" s="42"/>
      <c r="N43" s="42"/>
      <c r="O43" s="42"/>
      <c r="P43" s="42"/>
      <c r="Q43" s="42"/>
    </row>
    <row r="44" customFormat="false" ht="21" hidden="false" customHeight="true" outlineLevel="0" collapsed="false">
      <c r="A44" s="47" t="n">
        <v>5</v>
      </c>
      <c r="B44" s="69" t="s">
        <v>38</v>
      </c>
      <c r="C44" s="27" t="n">
        <v>1844</v>
      </c>
      <c r="D44" s="27" t="n">
        <v>197752</v>
      </c>
      <c r="E44" s="27" t="s">
        <v>34</v>
      </c>
      <c r="F44" s="27" t="s">
        <v>34</v>
      </c>
      <c r="G44" s="27" t="s">
        <v>34</v>
      </c>
      <c r="H44" s="27" t="s">
        <v>34</v>
      </c>
      <c r="I44" s="27" t="s">
        <v>34</v>
      </c>
      <c r="J44" s="27" t="s">
        <v>34</v>
      </c>
      <c r="K44" s="27" t="s">
        <v>34</v>
      </c>
      <c r="L44" s="27" t="s">
        <v>34</v>
      </c>
      <c r="M44" s="42"/>
      <c r="N44" s="42"/>
      <c r="O44" s="42"/>
      <c r="P44" s="42"/>
      <c r="Q44" s="42"/>
    </row>
    <row r="45" customFormat="false" ht="21" hidden="false" customHeight="true" outlineLevel="0" collapsed="false">
      <c r="A45" s="47" t="n">
        <v>6</v>
      </c>
      <c r="B45" s="69" t="s">
        <v>131</v>
      </c>
      <c r="C45" s="28" t="n">
        <v>11026</v>
      </c>
      <c r="D45" s="28" t="n">
        <v>1172852</v>
      </c>
      <c r="E45" s="28" t="n">
        <v>8392</v>
      </c>
      <c r="F45" s="28" t="n">
        <v>829806</v>
      </c>
      <c r="G45" s="28" t="s">
        <v>34</v>
      </c>
      <c r="H45" s="28" t="s">
        <v>34</v>
      </c>
      <c r="I45" s="28" t="n">
        <v>1139</v>
      </c>
      <c r="J45" s="28" t="n">
        <v>114315</v>
      </c>
      <c r="K45" s="28" t="n">
        <v>5194</v>
      </c>
      <c r="L45" s="28" t="n">
        <v>609114</v>
      </c>
      <c r="M45" s="42"/>
      <c r="N45" s="42"/>
      <c r="O45" s="42"/>
      <c r="P45" s="42"/>
      <c r="Q45" s="42"/>
    </row>
    <row r="46" customFormat="false" ht="21" hidden="false" customHeight="true" outlineLevel="0" collapsed="false">
      <c r="A46" s="47" t="n">
        <v>7</v>
      </c>
      <c r="B46" s="69" t="s">
        <v>113</v>
      </c>
      <c r="C46" s="27" t="n">
        <v>130</v>
      </c>
      <c r="D46" s="27" t="n">
        <v>9271</v>
      </c>
      <c r="E46" s="27" t="s">
        <v>34</v>
      </c>
      <c r="F46" s="27" t="s">
        <v>34</v>
      </c>
      <c r="G46" s="27" t="s">
        <v>34</v>
      </c>
      <c r="H46" s="27" t="s">
        <v>34</v>
      </c>
      <c r="I46" s="27" t="s">
        <v>34</v>
      </c>
      <c r="J46" s="27" t="s">
        <v>34</v>
      </c>
      <c r="K46" s="27" t="s">
        <v>34</v>
      </c>
      <c r="L46" s="27" t="s">
        <v>34</v>
      </c>
      <c r="M46" s="42"/>
      <c r="N46" s="42"/>
      <c r="O46" s="42"/>
      <c r="P46" s="42"/>
      <c r="Q46" s="42"/>
    </row>
    <row r="47" customFormat="false" ht="21" hidden="false" customHeight="true" outlineLevel="0" collapsed="false">
      <c r="A47" s="47" t="n">
        <v>8</v>
      </c>
      <c r="B47" s="69" t="s">
        <v>132</v>
      </c>
      <c r="C47" s="28" t="n">
        <v>2116</v>
      </c>
      <c r="D47" s="28" t="n">
        <v>234954</v>
      </c>
      <c r="E47" s="28" t="n">
        <v>794</v>
      </c>
      <c r="F47" s="28" t="n">
        <v>64823</v>
      </c>
      <c r="G47" s="28" t="s">
        <v>34</v>
      </c>
      <c r="H47" s="28" t="s">
        <v>34</v>
      </c>
      <c r="I47" s="28" t="s">
        <v>34</v>
      </c>
      <c r="J47" s="28" t="s">
        <v>34</v>
      </c>
      <c r="K47" s="28" t="s">
        <v>34</v>
      </c>
      <c r="L47" s="28" t="s">
        <v>34</v>
      </c>
      <c r="M47" s="42"/>
      <c r="N47" s="42"/>
      <c r="O47" s="42"/>
      <c r="P47" s="42"/>
      <c r="Q47" s="42"/>
    </row>
    <row r="48" customFormat="false" ht="21" hidden="false" customHeight="true" outlineLevel="0" collapsed="false">
      <c r="A48" s="47" t="n">
        <v>9</v>
      </c>
      <c r="B48" s="69" t="s">
        <v>115</v>
      </c>
      <c r="C48" s="27" t="n">
        <v>332</v>
      </c>
      <c r="D48" s="27" t="n">
        <v>19635</v>
      </c>
      <c r="E48" s="27" t="s">
        <v>34</v>
      </c>
      <c r="F48" s="27" t="s">
        <v>34</v>
      </c>
      <c r="G48" s="27" t="s">
        <v>34</v>
      </c>
      <c r="H48" s="27" t="s">
        <v>34</v>
      </c>
      <c r="I48" s="27" t="s">
        <v>34</v>
      </c>
      <c r="J48" s="27" t="s">
        <v>34</v>
      </c>
      <c r="K48" s="27" t="s">
        <v>34</v>
      </c>
      <c r="L48" s="27" t="s">
        <v>34</v>
      </c>
      <c r="M48" s="42"/>
      <c r="N48" s="42"/>
      <c r="O48" s="42"/>
      <c r="P48" s="42"/>
      <c r="Q48" s="42"/>
    </row>
    <row r="49" customFormat="false" ht="21" hidden="false" customHeight="true" outlineLevel="0" collapsed="false">
      <c r="A49" s="47" t="n">
        <v>10</v>
      </c>
      <c r="B49" s="69" t="s">
        <v>43</v>
      </c>
      <c r="C49" s="28" t="n">
        <v>1930</v>
      </c>
      <c r="D49" s="28" t="n">
        <v>201523</v>
      </c>
      <c r="E49" s="28" t="n">
        <v>232</v>
      </c>
      <c r="F49" s="28" t="n">
        <v>25633</v>
      </c>
      <c r="G49" s="28" t="s">
        <v>34</v>
      </c>
      <c r="H49" s="28" t="s">
        <v>34</v>
      </c>
      <c r="I49" s="28" t="s">
        <v>34</v>
      </c>
      <c r="J49" s="28" t="s">
        <v>34</v>
      </c>
      <c r="K49" s="28" t="n">
        <v>694</v>
      </c>
      <c r="L49" s="28" t="n">
        <v>71677</v>
      </c>
      <c r="M49" s="42"/>
      <c r="N49" s="42"/>
      <c r="O49" s="42"/>
      <c r="P49" s="42"/>
      <c r="Q49" s="42"/>
    </row>
    <row r="50" customFormat="false" ht="21" hidden="false" customHeight="true" outlineLevel="0" collapsed="false">
      <c r="A50" s="47" t="n">
        <v>11</v>
      </c>
      <c r="B50" s="69" t="s">
        <v>44</v>
      </c>
      <c r="C50" s="27" t="n">
        <v>6869</v>
      </c>
      <c r="D50" s="27" t="n">
        <v>673247</v>
      </c>
      <c r="E50" s="27" t="n">
        <v>3544</v>
      </c>
      <c r="F50" s="27" t="n">
        <v>375174</v>
      </c>
      <c r="G50" s="27" t="s">
        <v>34</v>
      </c>
      <c r="H50" s="27" t="s">
        <v>34</v>
      </c>
      <c r="I50" s="27" t="s">
        <v>34</v>
      </c>
      <c r="J50" s="27" t="s">
        <v>34</v>
      </c>
      <c r="K50" s="27" t="n">
        <v>1864</v>
      </c>
      <c r="L50" s="27" t="n">
        <v>226184</v>
      </c>
      <c r="M50" s="42"/>
      <c r="N50" s="42"/>
      <c r="O50" s="42"/>
      <c r="P50" s="42"/>
      <c r="Q50" s="42"/>
    </row>
    <row r="51" customFormat="false" ht="21" hidden="false" customHeight="true" outlineLevel="0" collapsed="false">
      <c r="A51" s="47" t="n">
        <v>12</v>
      </c>
      <c r="B51" s="69" t="s">
        <v>133</v>
      </c>
      <c r="C51" s="28" t="n">
        <v>2390</v>
      </c>
      <c r="D51" s="28" t="n">
        <v>234776</v>
      </c>
      <c r="E51" s="28" t="n">
        <v>388</v>
      </c>
      <c r="F51" s="28" t="n">
        <v>35716</v>
      </c>
      <c r="G51" s="28" t="n">
        <v>84</v>
      </c>
      <c r="H51" s="28" t="n">
        <v>3024</v>
      </c>
      <c r="I51" s="28" t="s">
        <v>34</v>
      </c>
      <c r="J51" s="28" t="s">
        <v>34</v>
      </c>
      <c r="K51" s="28" t="n">
        <v>341</v>
      </c>
      <c r="L51" s="28" t="n">
        <v>35878</v>
      </c>
      <c r="M51" s="42"/>
      <c r="N51" s="42"/>
      <c r="O51" s="42"/>
      <c r="P51" s="42"/>
      <c r="Q51" s="42"/>
    </row>
    <row r="52" customFormat="false" ht="21" hidden="false" customHeight="true" outlineLevel="0" collapsed="false">
      <c r="A52" s="47" t="n">
        <v>13</v>
      </c>
      <c r="B52" s="69" t="s">
        <v>134</v>
      </c>
      <c r="C52" s="27" t="n">
        <v>316</v>
      </c>
      <c r="D52" s="27" t="n">
        <v>26263</v>
      </c>
      <c r="E52" s="27" t="n">
        <v>110</v>
      </c>
      <c r="F52" s="27" t="n">
        <v>7947</v>
      </c>
      <c r="G52" s="27" t="s">
        <v>34</v>
      </c>
      <c r="H52" s="27" t="s">
        <v>34</v>
      </c>
      <c r="I52" s="27" t="s">
        <v>34</v>
      </c>
      <c r="J52" s="27" t="s">
        <v>34</v>
      </c>
      <c r="K52" s="27" t="s">
        <v>34</v>
      </c>
      <c r="L52" s="27" t="s">
        <v>34</v>
      </c>
      <c r="M52" s="42"/>
      <c r="N52" s="42"/>
      <c r="O52" s="42"/>
      <c r="P52" s="42"/>
      <c r="Q52" s="42"/>
    </row>
    <row r="53" customFormat="false" ht="21" hidden="false" customHeight="true" outlineLevel="0" collapsed="false">
      <c r="A53" s="47" t="n">
        <v>14</v>
      </c>
      <c r="B53" s="69" t="s">
        <v>47</v>
      </c>
      <c r="C53" s="28" t="n">
        <v>45415</v>
      </c>
      <c r="D53" s="28" t="n">
        <v>5935549</v>
      </c>
      <c r="E53" s="28" t="n">
        <v>11640</v>
      </c>
      <c r="F53" s="28" t="n">
        <v>1272301</v>
      </c>
      <c r="G53" s="28" t="s">
        <v>34</v>
      </c>
      <c r="H53" s="28" t="s">
        <v>34</v>
      </c>
      <c r="I53" s="28" t="n">
        <v>598</v>
      </c>
      <c r="J53" s="28" t="n">
        <v>57110</v>
      </c>
      <c r="K53" s="28" t="n">
        <v>11590</v>
      </c>
      <c r="L53" s="28" t="n">
        <v>1366059</v>
      </c>
      <c r="M53" s="42"/>
      <c r="N53" s="42"/>
      <c r="O53" s="42"/>
      <c r="P53" s="42"/>
      <c r="Q53" s="42"/>
    </row>
    <row r="54" customFormat="false" ht="21" hidden="false" customHeight="true" outlineLevel="0" collapsed="false">
      <c r="A54" s="47" t="n">
        <v>15</v>
      </c>
      <c r="B54" s="69" t="s">
        <v>48</v>
      </c>
      <c r="C54" s="27" t="n">
        <v>7207</v>
      </c>
      <c r="D54" s="27" t="n">
        <v>845592</v>
      </c>
      <c r="E54" s="27" t="n">
        <v>1675</v>
      </c>
      <c r="F54" s="27" t="n">
        <v>166557</v>
      </c>
      <c r="G54" s="27" t="n">
        <v>42</v>
      </c>
      <c r="H54" s="27" t="n">
        <v>1307</v>
      </c>
      <c r="I54" s="27" t="n">
        <v>16</v>
      </c>
      <c r="J54" s="27" t="n">
        <v>1225</v>
      </c>
      <c r="K54" s="27" t="n">
        <v>2295</v>
      </c>
      <c r="L54" s="27" t="n">
        <v>266783</v>
      </c>
      <c r="M54" s="42"/>
      <c r="N54" s="42"/>
      <c r="O54" s="42"/>
      <c r="P54" s="42"/>
      <c r="Q54" s="42"/>
    </row>
    <row r="55" customFormat="false" ht="21" hidden="false" customHeight="true" outlineLevel="0" collapsed="false">
      <c r="A55" s="47" t="n">
        <v>16</v>
      </c>
      <c r="B55" s="69" t="s">
        <v>135</v>
      </c>
      <c r="C55" s="28" t="n">
        <v>57</v>
      </c>
      <c r="D55" s="28" t="n">
        <v>2359</v>
      </c>
      <c r="E55" s="28" t="s">
        <v>34</v>
      </c>
      <c r="F55" s="28" t="s">
        <v>34</v>
      </c>
      <c r="G55" s="28" t="s">
        <v>34</v>
      </c>
      <c r="H55" s="28" t="s">
        <v>34</v>
      </c>
      <c r="I55" s="28" t="s">
        <v>34</v>
      </c>
      <c r="J55" s="28" t="s">
        <v>34</v>
      </c>
      <c r="K55" s="28" t="s">
        <v>34</v>
      </c>
      <c r="L55" s="28" t="s">
        <v>34</v>
      </c>
      <c r="M55" s="42"/>
      <c r="N55" s="42"/>
      <c r="O55" s="42"/>
      <c r="P55" s="42"/>
      <c r="Q55" s="42"/>
    </row>
    <row r="56" customFormat="false" ht="21" hidden="false" customHeight="true" outlineLevel="0" collapsed="false">
      <c r="A56" s="47" t="n">
        <v>17</v>
      </c>
      <c r="B56" s="69" t="s">
        <v>136</v>
      </c>
      <c r="C56" s="27" t="n">
        <v>1465</v>
      </c>
      <c r="D56" s="27" t="n">
        <v>155780</v>
      </c>
      <c r="E56" s="27" t="n">
        <v>424</v>
      </c>
      <c r="F56" s="27" t="n">
        <v>21907</v>
      </c>
      <c r="G56" s="27" t="s">
        <v>34</v>
      </c>
      <c r="H56" s="27" t="s">
        <v>34</v>
      </c>
      <c r="I56" s="27" t="s">
        <v>34</v>
      </c>
      <c r="J56" s="27" t="s">
        <v>34</v>
      </c>
      <c r="K56" s="27" t="s">
        <v>34</v>
      </c>
      <c r="L56" s="27" t="s">
        <v>34</v>
      </c>
      <c r="M56" s="42"/>
      <c r="N56" s="42"/>
      <c r="O56" s="42"/>
      <c r="P56" s="42"/>
      <c r="Q56" s="42"/>
    </row>
    <row r="57" customFormat="false" ht="21" hidden="false" customHeight="true" outlineLevel="0" collapsed="false">
      <c r="A57" s="47" t="n">
        <v>18</v>
      </c>
      <c r="B57" s="69" t="s">
        <v>137</v>
      </c>
      <c r="C57" s="28" t="n">
        <v>422</v>
      </c>
      <c r="D57" s="28" t="n">
        <v>42595</v>
      </c>
      <c r="E57" s="28" t="s">
        <v>34</v>
      </c>
      <c r="F57" s="28" t="s">
        <v>34</v>
      </c>
      <c r="G57" s="28" t="s">
        <v>34</v>
      </c>
      <c r="H57" s="28" t="s">
        <v>34</v>
      </c>
      <c r="I57" s="28" t="s">
        <v>34</v>
      </c>
      <c r="J57" s="28" t="s">
        <v>34</v>
      </c>
      <c r="K57" s="28" t="s">
        <v>34</v>
      </c>
      <c r="L57" s="28" t="s">
        <v>34</v>
      </c>
      <c r="M57" s="42"/>
      <c r="N57" s="42"/>
      <c r="O57" s="42"/>
      <c r="P57" s="42"/>
      <c r="Q57" s="42"/>
    </row>
    <row r="58" customFormat="false" ht="21" hidden="false" customHeight="true" outlineLevel="0" collapsed="false">
      <c r="A58" s="47" t="n">
        <v>19</v>
      </c>
      <c r="B58" s="69" t="s">
        <v>138</v>
      </c>
      <c r="C58" s="27" t="n">
        <v>51492</v>
      </c>
      <c r="D58" s="27" t="n">
        <v>6011054</v>
      </c>
      <c r="E58" s="27" t="n">
        <v>17951</v>
      </c>
      <c r="F58" s="27" t="n">
        <v>1928904</v>
      </c>
      <c r="G58" s="27" t="s">
        <v>34</v>
      </c>
      <c r="H58" s="27" t="s">
        <v>34</v>
      </c>
      <c r="I58" s="27" t="n">
        <v>1107</v>
      </c>
      <c r="J58" s="27" t="n">
        <v>100371</v>
      </c>
      <c r="K58" s="27" t="n">
        <v>12237</v>
      </c>
      <c r="L58" s="27" t="n">
        <v>1486903</v>
      </c>
      <c r="M58" s="42"/>
      <c r="N58" s="42"/>
      <c r="O58" s="42"/>
      <c r="P58" s="42"/>
      <c r="Q58" s="42"/>
    </row>
    <row r="59" customFormat="false" ht="21" hidden="false" customHeight="true" outlineLevel="0" collapsed="false">
      <c r="A59" s="47" t="n">
        <v>20</v>
      </c>
      <c r="B59" s="69" t="s">
        <v>53</v>
      </c>
      <c r="C59" s="28" t="n">
        <v>1098</v>
      </c>
      <c r="D59" s="28" t="n">
        <v>94690</v>
      </c>
      <c r="E59" s="28" t="n">
        <v>2</v>
      </c>
      <c r="F59" s="28" t="n">
        <v>67</v>
      </c>
      <c r="G59" s="28" t="s">
        <v>34</v>
      </c>
      <c r="H59" s="28" t="s">
        <v>34</v>
      </c>
      <c r="I59" s="28" t="s">
        <v>34</v>
      </c>
      <c r="J59" s="28" t="s">
        <v>34</v>
      </c>
      <c r="K59" s="28" t="s">
        <v>34</v>
      </c>
      <c r="L59" s="28" t="s">
        <v>34</v>
      </c>
      <c r="M59" s="42"/>
      <c r="N59" s="42"/>
      <c r="O59" s="42"/>
      <c r="P59" s="42"/>
      <c r="Q59" s="42"/>
    </row>
    <row r="60" customFormat="false" ht="21" hidden="false" customHeight="true" outlineLevel="0" collapsed="false">
      <c r="A60" s="47" t="n">
        <v>21</v>
      </c>
      <c r="B60" s="69" t="s">
        <v>54</v>
      </c>
      <c r="C60" s="27" t="n">
        <v>2667</v>
      </c>
      <c r="D60" s="27" t="n">
        <v>256701</v>
      </c>
      <c r="E60" s="27" t="n">
        <v>980</v>
      </c>
      <c r="F60" s="27" t="n">
        <v>85597</v>
      </c>
      <c r="G60" s="27" t="s">
        <v>34</v>
      </c>
      <c r="H60" s="27" t="s">
        <v>34</v>
      </c>
      <c r="I60" s="27" t="s">
        <v>34</v>
      </c>
      <c r="J60" s="27" t="s">
        <v>34</v>
      </c>
      <c r="K60" s="27" t="n">
        <v>436</v>
      </c>
      <c r="L60" s="27" t="n">
        <v>43844</v>
      </c>
      <c r="M60" s="42"/>
      <c r="N60" s="42"/>
      <c r="O60" s="42"/>
      <c r="P60" s="42"/>
      <c r="Q60" s="42"/>
    </row>
    <row r="61" customFormat="false" ht="21" hidden="false" customHeight="true" outlineLevel="0" collapsed="false">
      <c r="A61" s="47" t="n">
        <v>22</v>
      </c>
      <c r="B61" s="69" t="s">
        <v>139</v>
      </c>
      <c r="C61" s="28" t="n">
        <v>438</v>
      </c>
      <c r="D61" s="28" t="n">
        <v>38922</v>
      </c>
      <c r="E61" s="28" t="s">
        <v>34</v>
      </c>
      <c r="F61" s="28" t="s">
        <v>34</v>
      </c>
      <c r="G61" s="28" t="s">
        <v>34</v>
      </c>
      <c r="H61" s="28" t="s">
        <v>34</v>
      </c>
      <c r="I61" s="28" t="s">
        <v>34</v>
      </c>
      <c r="J61" s="28" t="s">
        <v>34</v>
      </c>
      <c r="K61" s="28" t="s">
        <v>34</v>
      </c>
      <c r="L61" s="28" t="s">
        <v>34</v>
      </c>
      <c r="M61" s="42"/>
      <c r="N61" s="42"/>
      <c r="O61" s="42"/>
      <c r="P61" s="42"/>
      <c r="Q61" s="42"/>
    </row>
    <row r="62" customFormat="false" ht="21" hidden="false" customHeight="true" outlineLevel="0" collapsed="false">
      <c r="A62" s="47" t="n">
        <v>23</v>
      </c>
      <c r="B62" s="69" t="s">
        <v>140</v>
      </c>
      <c r="C62" s="27" t="n">
        <v>4730</v>
      </c>
      <c r="D62" s="27" t="n">
        <v>457737</v>
      </c>
      <c r="E62" s="27" t="n">
        <v>1014</v>
      </c>
      <c r="F62" s="27" t="n">
        <v>97323</v>
      </c>
      <c r="G62" s="27" t="n">
        <v>42</v>
      </c>
      <c r="H62" s="27" t="n">
        <v>1773</v>
      </c>
      <c r="I62" s="27"/>
      <c r="J62" s="27"/>
      <c r="K62" s="27" t="n">
        <v>1496</v>
      </c>
      <c r="L62" s="27" t="n">
        <v>182624</v>
      </c>
      <c r="M62" s="42"/>
      <c r="N62" s="42"/>
      <c r="O62" s="42"/>
      <c r="P62" s="42"/>
      <c r="Q62" s="42"/>
    </row>
    <row r="63" customFormat="false" ht="21" hidden="false" customHeight="true" outlineLevel="0" collapsed="false">
      <c r="A63" s="47" t="n">
        <v>24</v>
      </c>
      <c r="B63" s="69" t="s">
        <v>141</v>
      </c>
      <c r="C63" s="28" t="n">
        <v>590</v>
      </c>
      <c r="D63" s="28" t="n">
        <v>40726</v>
      </c>
      <c r="E63" s="28" t="s">
        <v>34</v>
      </c>
      <c r="F63" s="28" t="s">
        <v>34</v>
      </c>
      <c r="G63" s="28" t="s">
        <v>34</v>
      </c>
      <c r="H63" s="28" t="s">
        <v>34</v>
      </c>
      <c r="I63" s="28" t="s">
        <v>34</v>
      </c>
      <c r="J63" s="28" t="s">
        <v>34</v>
      </c>
      <c r="K63" s="28" t="s">
        <v>34</v>
      </c>
      <c r="L63" s="28" t="s">
        <v>34</v>
      </c>
      <c r="M63" s="42"/>
      <c r="N63" s="42"/>
      <c r="O63" s="42"/>
      <c r="P63" s="42"/>
      <c r="Q63" s="42"/>
    </row>
    <row r="64" customFormat="false" ht="21" hidden="false" customHeight="true" outlineLevel="0" collapsed="false">
      <c r="A64" s="47" t="n">
        <v>25</v>
      </c>
      <c r="B64" s="69" t="s">
        <v>58</v>
      </c>
      <c r="C64" s="27" t="n">
        <v>1022</v>
      </c>
      <c r="D64" s="27" t="n">
        <v>100186</v>
      </c>
      <c r="E64" s="27" t="n">
        <v>73</v>
      </c>
      <c r="F64" s="27" t="n">
        <v>1722</v>
      </c>
      <c r="G64" s="27" t="s">
        <v>34</v>
      </c>
      <c r="H64" s="27" t="s">
        <v>34</v>
      </c>
      <c r="I64" s="27" t="s">
        <v>34</v>
      </c>
      <c r="J64" s="27" t="s">
        <v>34</v>
      </c>
      <c r="K64" s="27" t="s">
        <v>34</v>
      </c>
      <c r="L64" s="27" t="s">
        <v>34</v>
      </c>
      <c r="M64" s="42"/>
      <c r="N64" s="42"/>
      <c r="O64" s="42"/>
      <c r="P64" s="42"/>
      <c r="Q64" s="42"/>
    </row>
    <row r="65" customFormat="false" ht="21" hidden="false" customHeight="true" outlineLevel="0" collapsed="false">
      <c r="A65" s="47" t="n">
        <v>26</v>
      </c>
      <c r="B65" s="69" t="s">
        <v>120</v>
      </c>
      <c r="C65" s="28" t="n">
        <v>550</v>
      </c>
      <c r="D65" s="28" t="n">
        <v>52977</v>
      </c>
      <c r="E65" s="28" t="s">
        <v>34</v>
      </c>
      <c r="F65" s="28" t="s">
        <v>34</v>
      </c>
      <c r="G65" s="28" t="s">
        <v>34</v>
      </c>
      <c r="H65" s="28" t="s">
        <v>34</v>
      </c>
      <c r="I65" s="28" t="s">
        <v>34</v>
      </c>
      <c r="J65" s="28" t="s">
        <v>34</v>
      </c>
      <c r="K65" s="28" t="s">
        <v>34</v>
      </c>
      <c r="L65" s="28" t="s">
        <v>34</v>
      </c>
      <c r="M65" s="42"/>
      <c r="N65" s="42"/>
      <c r="O65" s="42"/>
      <c r="P65" s="42"/>
      <c r="Q65" s="42"/>
    </row>
    <row r="66" customFormat="false" ht="21" hidden="false" customHeight="true" outlineLevel="0" collapsed="false">
      <c r="A66" s="47" t="n">
        <v>27</v>
      </c>
      <c r="B66" s="69" t="s">
        <v>97</v>
      </c>
      <c r="C66" s="27" t="n">
        <v>1116</v>
      </c>
      <c r="D66" s="27" t="n">
        <v>95424</v>
      </c>
      <c r="E66" s="27" t="n">
        <v>318</v>
      </c>
      <c r="F66" s="27" t="n">
        <v>23394</v>
      </c>
      <c r="G66" s="27" t="s">
        <v>34</v>
      </c>
      <c r="H66" s="27" t="s">
        <v>34</v>
      </c>
      <c r="I66" s="27" t="s">
        <v>34</v>
      </c>
      <c r="J66" s="27" t="s">
        <v>34</v>
      </c>
      <c r="K66" s="27" t="n">
        <v>262</v>
      </c>
      <c r="L66" s="27" t="n">
        <v>25776</v>
      </c>
      <c r="M66" s="42"/>
      <c r="N66" s="42"/>
      <c r="O66" s="42"/>
      <c r="P66" s="42"/>
      <c r="Q66" s="42"/>
    </row>
    <row r="67" customFormat="false" ht="21" hidden="false" customHeight="true" outlineLevel="0" collapsed="false">
      <c r="A67" s="72" t="s">
        <v>142</v>
      </c>
      <c r="B67" s="72"/>
      <c r="C67" s="74" t="n">
        <f aca="false">SUM(C40:C66)</f>
        <v>157056</v>
      </c>
      <c r="D67" s="74" t="n">
        <f aca="false">SUM(D40:D66)</f>
        <v>18261176</v>
      </c>
      <c r="E67" s="74" t="n">
        <f aca="false">SUM(E40:E66)</f>
        <v>52794</v>
      </c>
      <c r="F67" s="74" t="n">
        <f aca="false">SUM(F40:F66)</f>
        <v>5445233</v>
      </c>
      <c r="G67" s="74" t="n">
        <f aca="false">SUM(G40:G66)</f>
        <v>168</v>
      </c>
      <c r="H67" s="74" t="n">
        <f aca="false">SUM(H40:H66)</f>
        <v>6104</v>
      </c>
      <c r="I67" s="74" t="n">
        <f aca="false">SUM(I40:I66)</f>
        <v>3016</v>
      </c>
      <c r="J67" s="74" t="n">
        <f aca="false">SUM(J40:J66)</f>
        <v>288844</v>
      </c>
      <c r="K67" s="74" t="n">
        <f aca="false">SUM(K40:K66)</f>
        <v>39883</v>
      </c>
      <c r="L67" s="74" t="n">
        <f aca="false">SUM(L40:L66)</f>
        <v>4734527</v>
      </c>
      <c r="M67" s="42"/>
      <c r="N67" s="42"/>
      <c r="O67" s="42"/>
      <c r="P67" s="42"/>
      <c r="Q67" s="42"/>
    </row>
    <row r="68" customFormat="false" ht="21" hidden="false" customHeight="true" outlineLevel="0" collapsed="false">
      <c r="A68" s="39" t="s">
        <v>106</v>
      </c>
      <c r="B68" s="39"/>
      <c r="C68" s="75"/>
      <c r="D68" s="75"/>
      <c r="E68" s="64"/>
      <c r="F68" s="64"/>
      <c r="G68" s="64"/>
      <c r="H68" s="64"/>
      <c r="I68" s="75"/>
      <c r="J68" s="75"/>
      <c r="K68" s="75"/>
      <c r="L68" s="75"/>
      <c r="M68" s="42"/>
      <c r="N68" s="42"/>
      <c r="O68" s="42"/>
      <c r="P68" s="42"/>
      <c r="Q68" s="42"/>
    </row>
    <row r="69" customFormat="false" ht="21" hidden="false" customHeight="true" outlineLevel="0" collapsed="false">
      <c r="B69" s="76"/>
      <c r="C69" s="76"/>
      <c r="D69" s="76"/>
      <c r="E69" s="61"/>
      <c r="F69" s="61"/>
      <c r="G69" s="62"/>
      <c r="H69" s="77"/>
      <c r="I69" s="77"/>
      <c r="J69" s="41" t="s">
        <v>83</v>
      </c>
      <c r="K69" s="41"/>
      <c r="L69" s="41"/>
      <c r="M69" s="42"/>
      <c r="N69" s="42"/>
      <c r="O69" s="42"/>
      <c r="P69" s="42"/>
      <c r="Q69" s="42"/>
    </row>
  </sheetData>
  <mergeCells count="29">
    <mergeCell ref="K1:L1"/>
    <mergeCell ref="B3:C3"/>
    <mergeCell ref="K3:L3"/>
    <mergeCell ref="O3:Q3"/>
    <mergeCell ref="A4:L4"/>
    <mergeCell ref="B5:E5"/>
    <mergeCell ref="P5:Q5"/>
    <mergeCell ref="A6:A7"/>
    <mergeCell ref="B6:B7"/>
    <mergeCell ref="C6:D6"/>
    <mergeCell ref="E6:F6"/>
    <mergeCell ref="G6:H6"/>
    <mergeCell ref="I6:J6"/>
    <mergeCell ref="K6:L6"/>
    <mergeCell ref="A35:B35"/>
    <mergeCell ref="A36:L36"/>
    <mergeCell ref="B37:E37"/>
    <mergeCell ref="P37:Q37"/>
    <mergeCell ref="A38:A39"/>
    <mergeCell ref="B38:B39"/>
    <mergeCell ref="C38:D38"/>
    <mergeCell ref="E38:F38"/>
    <mergeCell ref="G38:H38"/>
    <mergeCell ref="I38:J38"/>
    <mergeCell ref="K38:L38"/>
    <mergeCell ref="A67:B67"/>
    <mergeCell ref="A68:B68"/>
    <mergeCell ref="B69:D69"/>
    <mergeCell ref="J69:L69"/>
  </mergeCells>
  <hyperlinks>
    <hyperlink ref="J69" location="Content!A1" display="Back to index"/>
  </hyperlinks>
  <printOptions headings="true" gridLines="false" gridLinesSet="true" horizontalCentered="false" verticalCentered="false"/>
  <pageMargins left="0.7" right="0.7" top="0.75" bottom="0.75" header="0.511811023622047" footer="0.511811023622047"/>
  <pageSetup paperSize="9" scale="1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false" showRowColHeaders="true" showZeros="true" rightToLeft="false" tabSelected="false" showOutlineSymbols="true" defaultGridColor="true" view="pageBreakPreview" topLeftCell="B1" colorId="64" zoomScale="85" zoomScaleNormal="100" zoomScalePageLayoutView="85" workbookViewId="0">
      <selection pane="topLeft" activeCell="M1" activeCellId="0" sqref="M1"/>
    </sheetView>
  </sheetViews>
  <sheetFormatPr defaultColWidth="9.1015625" defaultRowHeight="19.2" customHeight="false" zeroHeight="false" outlineLevelRow="0" outlineLevelCol="0"/>
  <cols>
    <col collapsed="false" customWidth="false" hidden="false" outlineLevel="0" max="1" min="1" style="4" width="9.1"/>
    <col collapsed="false" customWidth="true" hidden="false" outlineLevel="0" max="2" min="2" style="50" width="40.66"/>
    <col collapsed="false" customWidth="true" hidden="false" outlineLevel="0" max="11" min="3" style="4" width="18.66"/>
    <col collapsed="false" customWidth="true" hidden="false" outlineLevel="0" max="12" min="12" style="4" width="18.33"/>
    <col collapsed="false" customWidth="true" hidden="false" outlineLevel="0" max="13" min="13" style="4" width="18.66"/>
    <col collapsed="false" customWidth="true" hidden="false" outlineLevel="0" max="14" min="14" style="4" width="18.33"/>
    <col collapsed="false" customWidth="true" hidden="false" outlineLevel="0" max="15" min="15" style="7" width="0.33"/>
    <col collapsed="false" customWidth="true" hidden="false" outlineLevel="0" max="16" min="16" style="7" width="3.87"/>
    <col collapsed="false" customWidth="true" hidden="false" outlineLevel="0" max="17" min="17" style="7" width="1.66"/>
    <col collapsed="false" customWidth="false" hidden="false" outlineLevel="0" max="257" min="18" style="7" width="9.1"/>
  </cols>
  <sheetData>
    <row r="1" customFormat="false" ht="21" hidden="false" customHeight="true" outlineLevel="0" collapsed="false">
      <c r="M1" s="17" t="s">
        <v>17</v>
      </c>
      <c r="N1" s="17"/>
    </row>
    <row r="2" customFormat="false" ht="21" hidden="false" customHeight="true" outlineLevel="0" collapsed="false">
      <c r="B2" s="17"/>
      <c r="C2" s="17"/>
      <c r="D2" s="51"/>
      <c r="E2" s="52"/>
      <c r="F2" s="51"/>
      <c r="G2" s="51"/>
      <c r="H2" s="51"/>
      <c r="I2" s="51"/>
      <c r="J2" s="51"/>
      <c r="K2" s="66"/>
      <c r="L2" s="66"/>
      <c r="M2" s="66"/>
      <c r="N2" s="66"/>
    </row>
    <row r="3" customFormat="false" ht="54.75" hidden="false" customHeight="true" outlineLevel="0" collapsed="false">
      <c r="A3" s="65" t="s">
        <v>7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</row>
    <row r="4" customFormat="false" ht="21" hidden="false" customHeight="true" outlineLevel="0" collapsed="false"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</row>
    <row r="5" customFormat="false" ht="21" hidden="false" customHeight="true" outlineLevel="0" collapsed="false">
      <c r="B5" s="68"/>
      <c r="C5" s="68"/>
      <c r="D5" s="68"/>
      <c r="E5" s="68"/>
      <c r="F5" s="51"/>
      <c r="G5" s="51"/>
      <c r="H5" s="51"/>
      <c r="I5" s="51"/>
      <c r="J5" s="51"/>
      <c r="K5" s="51"/>
      <c r="L5" s="51"/>
      <c r="M5" s="51"/>
      <c r="N5" s="51"/>
    </row>
    <row r="6" customFormat="false" ht="21" hidden="false" customHeight="true" outlineLevel="0" collapsed="false">
      <c r="A6" s="79" t="s">
        <v>19</v>
      </c>
      <c r="B6" s="69" t="s">
        <v>123</v>
      </c>
      <c r="C6" s="80" t="s">
        <v>145</v>
      </c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</row>
    <row r="7" customFormat="false" ht="21" hidden="false" customHeight="true" outlineLevel="0" collapsed="false">
      <c r="A7" s="79"/>
      <c r="B7" s="69"/>
      <c r="C7" s="81" t="n">
        <v>2010</v>
      </c>
      <c r="D7" s="81" t="n">
        <v>2011</v>
      </c>
      <c r="E7" s="81" t="n">
        <v>2012</v>
      </c>
      <c r="F7" s="81" t="n">
        <v>2013</v>
      </c>
      <c r="G7" s="81" t="n">
        <v>2014</v>
      </c>
      <c r="H7" s="81" t="n">
        <v>2015</v>
      </c>
      <c r="I7" s="81" t="n">
        <v>2016</v>
      </c>
      <c r="J7" s="81" t="n">
        <v>2017</v>
      </c>
      <c r="K7" s="81" t="n">
        <v>2018</v>
      </c>
      <c r="L7" s="81" t="n">
        <v>2019</v>
      </c>
      <c r="M7" s="81" t="n">
        <v>2020</v>
      </c>
      <c r="N7" s="81" t="n">
        <v>2021</v>
      </c>
    </row>
    <row r="8" customFormat="false" ht="21" hidden="false" customHeight="true" outlineLevel="0" collapsed="false">
      <c r="A8" s="47" t="n">
        <v>1</v>
      </c>
      <c r="B8" s="47" t="s">
        <v>33</v>
      </c>
      <c r="C8" s="27" t="n">
        <v>2359</v>
      </c>
      <c r="D8" s="27" t="n">
        <v>2539</v>
      </c>
      <c r="E8" s="27" t="n">
        <v>2984</v>
      </c>
      <c r="F8" s="27" t="n">
        <v>2829</v>
      </c>
      <c r="G8" s="27" t="n">
        <v>2966</v>
      </c>
      <c r="H8" s="27" t="n">
        <v>3133</v>
      </c>
      <c r="I8" s="27" t="n">
        <v>4027</v>
      </c>
      <c r="J8" s="27" t="n">
        <v>4840</v>
      </c>
      <c r="K8" s="27" t="n">
        <v>4485</v>
      </c>
      <c r="L8" s="27" t="n">
        <v>4136</v>
      </c>
      <c r="M8" s="27" t="n">
        <v>2320</v>
      </c>
      <c r="N8" s="27" t="n">
        <v>3078</v>
      </c>
      <c r="O8" s="42" t="n">
        <v>42204</v>
      </c>
    </row>
    <row r="9" customFormat="false" ht="21" hidden="false" customHeight="true" outlineLevel="0" collapsed="false">
      <c r="A9" s="47" t="n">
        <v>2</v>
      </c>
      <c r="B9" s="47" t="s">
        <v>108</v>
      </c>
      <c r="C9" s="28" t="n">
        <v>12916</v>
      </c>
      <c r="D9" s="28" t="n">
        <v>15723</v>
      </c>
      <c r="E9" s="28" t="n">
        <v>18222</v>
      </c>
      <c r="F9" s="28" t="n">
        <v>19788</v>
      </c>
      <c r="G9" s="28" t="n">
        <v>21857</v>
      </c>
      <c r="H9" s="28" t="n">
        <v>26151</v>
      </c>
      <c r="I9" s="28" t="n">
        <v>31871</v>
      </c>
      <c r="J9" s="28" t="n">
        <v>34808</v>
      </c>
      <c r="K9" s="28" t="n">
        <v>40955</v>
      </c>
      <c r="L9" s="28" t="n">
        <v>35027</v>
      </c>
      <c r="M9" s="28" t="n">
        <v>16276</v>
      </c>
      <c r="N9" s="28" t="n">
        <v>24415</v>
      </c>
      <c r="O9" s="42" t="n">
        <v>318014</v>
      </c>
    </row>
    <row r="10" customFormat="false" ht="21" hidden="false" customHeight="true" outlineLevel="0" collapsed="false">
      <c r="A10" s="47" t="n">
        <v>3</v>
      </c>
      <c r="B10" s="47" t="s">
        <v>36</v>
      </c>
      <c r="C10" s="27" t="n">
        <v>3536</v>
      </c>
      <c r="D10" s="27" t="n">
        <v>3472</v>
      </c>
      <c r="E10" s="27" t="n">
        <v>3550</v>
      </c>
      <c r="F10" s="27" t="n">
        <v>3446</v>
      </c>
      <c r="G10" s="27" t="n">
        <v>3579</v>
      </c>
      <c r="H10" s="27" t="n">
        <v>4412</v>
      </c>
      <c r="I10" s="27" t="n">
        <v>5759</v>
      </c>
      <c r="J10" s="27" t="n">
        <v>6155</v>
      </c>
      <c r="K10" s="27" t="n">
        <v>5839</v>
      </c>
      <c r="L10" s="27" t="n">
        <v>5276</v>
      </c>
      <c r="M10" s="27" t="n">
        <v>2604</v>
      </c>
      <c r="N10" s="27" t="n">
        <v>4313</v>
      </c>
      <c r="O10" s="42" t="n">
        <v>55440</v>
      </c>
    </row>
    <row r="11" customFormat="false" ht="21" hidden="false" customHeight="true" outlineLevel="0" collapsed="false">
      <c r="A11" s="47" t="n">
        <v>4</v>
      </c>
      <c r="B11" s="47" t="s">
        <v>146</v>
      </c>
      <c r="C11" s="28" t="n">
        <v>1086</v>
      </c>
      <c r="D11" s="28" t="n">
        <v>1271</v>
      </c>
      <c r="E11" s="28" t="n">
        <v>1873</v>
      </c>
      <c r="F11" s="28" t="n">
        <v>2156</v>
      </c>
      <c r="G11" s="28" t="n">
        <v>2179</v>
      </c>
      <c r="H11" s="28" t="n">
        <v>2158</v>
      </c>
      <c r="I11" s="28" t="n">
        <v>2414</v>
      </c>
      <c r="J11" s="28" t="n">
        <v>3145</v>
      </c>
      <c r="K11" s="28" t="n">
        <v>3568</v>
      </c>
      <c r="L11" s="28" t="n">
        <v>3328</v>
      </c>
      <c r="M11" s="28" t="n">
        <v>1304</v>
      </c>
      <c r="N11" s="28" t="n">
        <v>2450</v>
      </c>
      <c r="O11" s="42" t="n">
        <v>28709</v>
      </c>
    </row>
    <row r="12" customFormat="false" ht="21" hidden="false" customHeight="true" outlineLevel="0" collapsed="false">
      <c r="A12" s="47" t="n">
        <v>5</v>
      </c>
      <c r="B12" s="47" t="s">
        <v>38</v>
      </c>
      <c r="C12" s="27" t="n">
        <v>2773</v>
      </c>
      <c r="D12" s="27" t="n">
        <v>2983</v>
      </c>
      <c r="E12" s="27" t="n">
        <v>3332</v>
      </c>
      <c r="F12" s="27" t="n">
        <v>3525</v>
      </c>
      <c r="G12" s="27" t="n">
        <v>3640</v>
      </c>
      <c r="H12" s="27" t="n">
        <v>3579</v>
      </c>
      <c r="I12" s="27" t="n">
        <v>3816</v>
      </c>
      <c r="J12" s="27" t="n">
        <v>3984</v>
      </c>
      <c r="K12" s="27" t="n">
        <v>3892</v>
      </c>
      <c r="L12" s="27" t="n">
        <v>3946</v>
      </c>
      <c r="M12" s="27" t="n">
        <v>1868</v>
      </c>
      <c r="N12" s="27" t="n">
        <v>3337</v>
      </c>
      <c r="O12" s="42" t="n">
        <v>43088</v>
      </c>
    </row>
    <row r="13" customFormat="false" ht="21" hidden="false" customHeight="true" outlineLevel="0" collapsed="false">
      <c r="A13" s="47" t="n">
        <v>6</v>
      </c>
      <c r="B13" s="47" t="s">
        <v>39</v>
      </c>
      <c r="C13" s="28" t="n">
        <v>45581</v>
      </c>
      <c r="D13" s="28" t="n">
        <v>50932</v>
      </c>
      <c r="E13" s="28" t="n">
        <v>56141</v>
      </c>
      <c r="F13" s="28" t="n">
        <v>60885</v>
      </c>
      <c r="G13" s="28" t="n">
        <v>66916</v>
      </c>
      <c r="H13" s="28" t="n">
        <v>72163</v>
      </c>
      <c r="I13" s="28" t="n">
        <v>90367</v>
      </c>
      <c r="J13" s="28" t="n">
        <v>91189</v>
      </c>
      <c r="K13" s="28" t="n">
        <v>93377</v>
      </c>
      <c r="L13" s="28" t="n">
        <v>94790</v>
      </c>
      <c r="M13" s="28" t="n">
        <v>47633</v>
      </c>
      <c r="N13" s="28" t="n">
        <v>65960</v>
      </c>
      <c r="O13" s="42" t="n">
        <v>896742</v>
      </c>
    </row>
    <row r="14" customFormat="false" ht="21" hidden="false" customHeight="true" outlineLevel="0" collapsed="false">
      <c r="A14" s="47" t="n">
        <v>7</v>
      </c>
      <c r="B14" s="47" t="s">
        <v>40</v>
      </c>
      <c r="C14" s="27" t="n">
        <v>370</v>
      </c>
      <c r="D14" s="27" t="n">
        <v>387</v>
      </c>
      <c r="E14" s="27" t="n">
        <v>432</v>
      </c>
      <c r="F14" s="27" t="n">
        <v>420</v>
      </c>
      <c r="G14" s="27" t="n">
        <v>415</v>
      </c>
      <c r="H14" s="27" t="n">
        <v>414</v>
      </c>
      <c r="I14" s="27" t="n">
        <v>438</v>
      </c>
      <c r="J14" s="27" t="n">
        <v>474</v>
      </c>
      <c r="K14" s="27" t="n">
        <v>632</v>
      </c>
      <c r="L14" s="27" t="n">
        <v>494</v>
      </c>
      <c r="M14" s="27" t="n">
        <v>204</v>
      </c>
      <c r="N14" s="27" t="n">
        <v>421</v>
      </c>
      <c r="O14" s="42" t="n">
        <v>5655</v>
      </c>
    </row>
    <row r="15" customFormat="false" ht="21" hidden="false" customHeight="true" outlineLevel="0" collapsed="false">
      <c r="A15" s="47" t="n">
        <v>8</v>
      </c>
      <c r="B15" s="47" t="s">
        <v>132</v>
      </c>
      <c r="C15" s="28" t="n">
        <v>6389</v>
      </c>
      <c r="D15" s="28" t="n">
        <v>5640</v>
      </c>
      <c r="E15" s="28" t="n">
        <v>5653</v>
      </c>
      <c r="F15" s="28" t="n">
        <v>5855</v>
      </c>
      <c r="G15" s="28" t="n">
        <v>6083</v>
      </c>
      <c r="H15" s="28" t="n">
        <v>1881</v>
      </c>
      <c r="I15" s="28" t="n">
        <v>179</v>
      </c>
      <c r="J15" s="28" t="n">
        <v>121</v>
      </c>
      <c r="K15" s="28" t="n">
        <v>160</v>
      </c>
      <c r="L15" s="28" t="n">
        <v>1595</v>
      </c>
      <c r="M15" s="28" t="n">
        <v>3034</v>
      </c>
      <c r="N15" s="28" t="n">
        <v>5556</v>
      </c>
      <c r="O15" s="42" t="n">
        <v>46340</v>
      </c>
    </row>
    <row r="16" customFormat="false" ht="21" hidden="false" customHeight="true" outlineLevel="0" collapsed="false">
      <c r="A16" s="47" t="n">
        <v>9</v>
      </c>
      <c r="B16" s="47" t="s">
        <v>115</v>
      </c>
      <c r="C16" s="27" t="n">
        <v>1067</v>
      </c>
      <c r="D16" s="27" t="n">
        <v>985</v>
      </c>
      <c r="E16" s="27" t="n">
        <v>642</v>
      </c>
      <c r="F16" s="27" t="n">
        <v>692</v>
      </c>
      <c r="G16" s="27" t="n">
        <v>775</v>
      </c>
      <c r="H16" s="27" t="n">
        <v>866</v>
      </c>
      <c r="I16" s="27" t="n">
        <v>1171</v>
      </c>
      <c r="J16" s="27" t="n">
        <v>1121</v>
      </c>
      <c r="K16" s="27" t="n">
        <v>1730</v>
      </c>
      <c r="L16" s="27" t="n">
        <v>1544</v>
      </c>
      <c r="M16" s="27" t="n">
        <v>642</v>
      </c>
      <c r="N16" s="27" t="n">
        <v>1345</v>
      </c>
      <c r="O16" s="42" t="n">
        <v>13768</v>
      </c>
    </row>
    <row r="17" customFormat="false" ht="21" hidden="false" customHeight="true" outlineLevel="0" collapsed="false">
      <c r="A17" s="47" t="n">
        <v>10</v>
      </c>
      <c r="B17" s="47" t="s">
        <v>43</v>
      </c>
      <c r="C17" s="28" t="n">
        <v>4503</v>
      </c>
      <c r="D17" s="28" t="n">
        <v>5888</v>
      </c>
      <c r="E17" s="28" t="n">
        <v>7377</v>
      </c>
      <c r="F17" s="28" t="n">
        <v>9016</v>
      </c>
      <c r="G17" s="28" t="n">
        <v>9811</v>
      </c>
      <c r="H17" s="28" t="n">
        <v>13004</v>
      </c>
      <c r="I17" s="28" t="n">
        <v>16163</v>
      </c>
      <c r="J17" s="28" t="n">
        <v>15663</v>
      </c>
      <c r="K17" s="28" t="n">
        <v>16303</v>
      </c>
      <c r="L17" s="28" t="n">
        <v>15151</v>
      </c>
      <c r="M17" s="28" t="n">
        <v>5066</v>
      </c>
      <c r="N17" s="28" t="n">
        <v>7105</v>
      </c>
      <c r="O17" s="42" t="n">
        <v>132215</v>
      </c>
    </row>
    <row r="18" customFormat="false" ht="21" hidden="false" customHeight="true" outlineLevel="0" collapsed="false">
      <c r="A18" s="47" t="n">
        <v>11</v>
      </c>
      <c r="B18" s="47" t="s">
        <v>44</v>
      </c>
      <c r="C18" s="27" t="n">
        <v>8397</v>
      </c>
      <c r="D18" s="27" t="n">
        <v>8070</v>
      </c>
      <c r="E18" s="27" t="n">
        <v>8756</v>
      </c>
      <c r="F18" s="27" t="n">
        <v>8903</v>
      </c>
      <c r="G18" s="27" t="n">
        <v>11298</v>
      </c>
      <c r="H18" s="27" t="n">
        <v>12283</v>
      </c>
      <c r="I18" s="27" t="n">
        <v>15761</v>
      </c>
      <c r="J18" s="27" t="n">
        <v>18440</v>
      </c>
      <c r="K18" s="27" t="n">
        <v>23219</v>
      </c>
      <c r="L18" s="27" t="n">
        <v>22702</v>
      </c>
      <c r="M18" s="27" t="n">
        <v>13499</v>
      </c>
      <c r="N18" s="27" t="n">
        <v>19755</v>
      </c>
      <c r="O18" s="42" t="n">
        <v>185124</v>
      </c>
    </row>
    <row r="19" customFormat="false" ht="21" hidden="false" customHeight="true" outlineLevel="0" collapsed="false">
      <c r="A19" s="47" t="n">
        <v>12</v>
      </c>
      <c r="B19" s="47" t="s">
        <v>147</v>
      </c>
      <c r="C19" s="28" t="n">
        <v>4326</v>
      </c>
      <c r="D19" s="28" t="n">
        <v>3946</v>
      </c>
      <c r="E19" s="28" t="n">
        <v>4395</v>
      </c>
      <c r="F19" s="28" t="n">
        <v>4996</v>
      </c>
      <c r="G19" s="28" t="n">
        <v>5843</v>
      </c>
      <c r="H19" s="28" t="n">
        <v>6721</v>
      </c>
      <c r="I19" s="28" t="n">
        <v>8022</v>
      </c>
      <c r="J19" s="28" t="n">
        <v>14015</v>
      </c>
      <c r="K19" s="28" t="n">
        <v>18101</v>
      </c>
      <c r="L19" s="28" t="n">
        <v>12398</v>
      </c>
      <c r="M19" s="28" t="n">
        <v>3782</v>
      </c>
      <c r="N19" s="28" t="n">
        <v>5833</v>
      </c>
      <c r="O19" s="42" t="n">
        <v>97822</v>
      </c>
    </row>
    <row r="20" customFormat="false" ht="21" hidden="false" customHeight="true" outlineLevel="0" collapsed="false">
      <c r="A20" s="47" t="n">
        <v>13</v>
      </c>
      <c r="B20" s="47" t="s">
        <v>134</v>
      </c>
      <c r="C20" s="27" t="n">
        <v>241</v>
      </c>
      <c r="D20" s="27" t="n">
        <v>238</v>
      </c>
      <c r="E20" s="27" t="n">
        <v>256</v>
      </c>
      <c r="F20" s="27" t="n">
        <v>500</v>
      </c>
      <c r="G20" s="27" t="n">
        <v>1236</v>
      </c>
      <c r="H20" s="27" t="n">
        <v>1885</v>
      </c>
      <c r="I20" s="27" t="n">
        <v>8113</v>
      </c>
      <c r="J20" s="27" t="n">
        <v>7367</v>
      </c>
      <c r="K20" s="27" t="n">
        <v>6469</v>
      </c>
      <c r="L20" s="27" t="n">
        <v>6962</v>
      </c>
      <c r="M20" s="27" t="n">
        <v>5882</v>
      </c>
      <c r="N20" s="27" t="n">
        <v>5996</v>
      </c>
      <c r="O20" s="42" t="n">
        <v>49317</v>
      </c>
    </row>
    <row r="21" customFormat="false" ht="21" hidden="false" customHeight="true" outlineLevel="0" collapsed="false">
      <c r="A21" s="47" t="n">
        <v>14</v>
      </c>
      <c r="B21" s="47" t="s">
        <v>47</v>
      </c>
      <c r="C21" s="28" t="n">
        <v>139839</v>
      </c>
      <c r="D21" s="28" t="n">
        <v>152811</v>
      </c>
      <c r="E21" s="28" t="n">
        <v>163070</v>
      </c>
      <c r="F21" s="28" t="n">
        <v>158386</v>
      </c>
      <c r="G21" s="28" t="n">
        <v>174761</v>
      </c>
      <c r="H21" s="28" t="n">
        <v>197240</v>
      </c>
      <c r="I21" s="28" t="n">
        <v>226589</v>
      </c>
      <c r="J21" s="28" t="n">
        <v>227807</v>
      </c>
      <c r="K21" s="28" t="n">
        <v>235063</v>
      </c>
      <c r="L21" s="28" t="n">
        <v>241940</v>
      </c>
      <c r="M21" s="28" t="n">
        <v>96041</v>
      </c>
      <c r="N21" s="28" t="n">
        <v>129369</v>
      </c>
      <c r="O21" s="42" t="n">
        <v>2288256</v>
      </c>
    </row>
    <row r="22" customFormat="false" ht="21" hidden="false" customHeight="true" outlineLevel="0" collapsed="false">
      <c r="A22" s="47" t="n">
        <v>15</v>
      </c>
      <c r="B22" s="47" t="s">
        <v>48</v>
      </c>
      <c r="C22" s="27" t="n">
        <v>31049</v>
      </c>
      <c r="D22" s="27" t="n">
        <v>32888</v>
      </c>
      <c r="E22" s="27" t="n">
        <v>34055</v>
      </c>
      <c r="F22" s="27" t="n">
        <v>34924</v>
      </c>
      <c r="G22" s="27" t="n">
        <v>41750</v>
      </c>
      <c r="H22" s="27" t="n">
        <v>49031</v>
      </c>
      <c r="I22" s="27" t="n">
        <v>54451</v>
      </c>
      <c r="J22" s="27" t="n">
        <v>58045</v>
      </c>
      <c r="K22" s="27" t="n">
        <v>60665</v>
      </c>
      <c r="L22" s="27" t="n">
        <v>60604</v>
      </c>
      <c r="M22" s="27" t="n">
        <v>18450</v>
      </c>
      <c r="N22" s="27" t="n">
        <v>19813</v>
      </c>
      <c r="O22" s="42" t="n">
        <v>528878</v>
      </c>
    </row>
    <row r="23" customFormat="false" ht="21" hidden="false" customHeight="true" outlineLevel="0" collapsed="false">
      <c r="A23" s="47" t="n">
        <v>16</v>
      </c>
      <c r="B23" s="47" t="s">
        <v>49</v>
      </c>
      <c r="C23" s="28" t="s">
        <v>34</v>
      </c>
      <c r="D23" s="28" t="s">
        <v>34</v>
      </c>
      <c r="E23" s="28" t="s">
        <v>34</v>
      </c>
      <c r="F23" s="28" t="s">
        <v>34</v>
      </c>
      <c r="G23" s="28" t="s">
        <v>34</v>
      </c>
      <c r="H23" s="28" t="s">
        <v>34</v>
      </c>
      <c r="I23" s="28" t="s">
        <v>34</v>
      </c>
      <c r="J23" s="28" t="s">
        <v>34</v>
      </c>
      <c r="K23" s="28" t="s">
        <v>34</v>
      </c>
      <c r="L23" s="28" t="n">
        <v>740</v>
      </c>
      <c r="M23" s="28" t="n">
        <v>767</v>
      </c>
      <c r="N23" s="28" t="n">
        <v>1186</v>
      </c>
      <c r="O23" s="42" t="n">
        <v>3776</v>
      </c>
    </row>
    <row r="24" customFormat="false" ht="21" hidden="false" customHeight="true" outlineLevel="0" collapsed="false">
      <c r="A24" s="47" t="n">
        <v>17</v>
      </c>
      <c r="B24" s="47" t="s">
        <v>50</v>
      </c>
      <c r="C24" s="27" t="n">
        <v>2167</v>
      </c>
      <c r="D24" s="27" t="n">
        <v>2187</v>
      </c>
      <c r="E24" s="27" t="n">
        <v>2001</v>
      </c>
      <c r="F24" s="27" t="n">
        <v>2098</v>
      </c>
      <c r="G24" s="27" t="n">
        <v>2105</v>
      </c>
      <c r="H24" s="27" t="n">
        <v>2155</v>
      </c>
      <c r="I24" s="27" t="n">
        <v>2625</v>
      </c>
      <c r="J24" s="27" t="n">
        <v>2952</v>
      </c>
      <c r="K24" s="27" t="n">
        <v>3417</v>
      </c>
      <c r="L24" s="27" t="n">
        <v>3332</v>
      </c>
      <c r="M24" s="27" t="n">
        <v>2363</v>
      </c>
      <c r="N24" s="27" t="n">
        <v>2849</v>
      </c>
      <c r="O24" s="42" t="n">
        <v>32295</v>
      </c>
    </row>
    <row r="25" customFormat="false" ht="21" hidden="false" customHeight="true" outlineLevel="0" collapsed="false">
      <c r="A25" s="47" t="n">
        <v>18</v>
      </c>
      <c r="B25" s="47" t="s">
        <v>137</v>
      </c>
      <c r="C25" s="28" t="n">
        <v>797</v>
      </c>
      <c r="D25" s="28" t="n">
        <v>1006</v>
      </c>
      <c r="E25" s="28" t="n">
        <v>724</v>
      </c>
      <c r="F25" s="28" t="n">
        <v>914</v>
      </c>
      <c r="G25" s="28" t="n">
        <v>937</v>
      </c>
      <c r="H25" s="28" t="n">
        <v>1182</v>
      </c>
      <c r="I25" s="28" t="n">
        <v>1318</v>
      </c>
      <c r="J25" s="28" t="n">
        <v>1332</v>
      </c>
      <c r="K25" s="28" t="n">
        <v>1212</v>
      </c>
      <c r="L25" s="28" t="n">
        <v>946</v>
      </c>
      <c r="M25" s="28" t="n">
        <v>422</v>
      </c>
      <c r="N25" s="28" t="n">
        <v>647</v>
      </c>
      <c r="O25" s="42" t="n">
        <v>11881</v>
      </c>
    </row>
    <row r="26" customFormat="false" ht="21" hidden="false" customHeight="true" outlineLevel="0" collapsed="false">
      <c r="A26" s="47" t="n">
        <v>19</v>
      </c>
      <c r="B26" s="47" t="s">
        <v>138</v>
      </c>
      <c r="C26" s="27" t="n">
        <v>110440</v>
      </c>
      <c r="D26" s="27" t="n">
        <v>116663</v>
      </c>
      <c r="E26" s="27" t="n">
        <v>134942</v>
      </c>
      <c r="F26" s="27" t="n">
        <v>139908</v>
      </c>
      <c r="G26" s="27" t="n">
        <v>145378</v>
      </c>
      <c r="H26" s="27" t="n">
        <v>158642</v>
      </c>
      <c r="I26" s="27" t="n">
        <v>195407</v>
      </c>
      <c r="J26" s="27" t="n">
        <v>203532</v>
      </c>
      <c r="K26" s="27" t="n">
        <v>208745</v>
      </c>
      <c r="L26" s="27" t="n">
        <v>212163</v>
      </c>
      <c r="M26" s="27" t="n">
        <v>103338</v>
      </c>
      <c r="N26" s="27" t="n">
        <v>163162</v>
      </c>
      <c r="O26" s="42" t="n">
        <v>2047131</v>
      </c>
    </row>
    <row r="27" customFormat="false" ht="21" hidden="false" customHeight="true" outlineLevel="0" collapsed="false">
      <c r="A27" s="47" t="n">
        <v>20</v>
      </c>
      <c r="B27" s="47" t="s">
        <v>53</v>
      </c>
      <c r="C27" s="28" t="n">
        <v>1883</v>
      </c>
      <c r="D27" s="28" t="n">
        <v>1804</v>
      </c>
      <c r="E27" s="28" t="n">
        <v>1464</v>
      </c>
      <c r="F27" s="28" t="n">
        <v>1457</v>
      </c>
      <c r="G27" s="28" t="n">
        <v>1458</v>
      </c>
      <c r="H27" s="28" t="n">
        <v>1835</v>
      </c>
      <c r="I27" s="28" t="n">
        <v>2422</v>
      </c>
      <c r="J27" s="28" t="n">
        <v>2846</v>
      </c>
      <c r="K27" s="28" t="n">
        <v>2957</v>
      </c>
      <c r="L27" s="28" t="n">
        <v>2740</v>
      </c>
      <c r="M27" s="28" t="n">
        <v>1546</v>
      </c>
      <c r="N27" s="28" t="n">
        <v>2292</v>
      </c>
      <c r="O27" s="42" t="n">
        <v>26643</v>
      </c>
    </row>
    <row r="28" customFormat="false" ht="21" hidden="false" customHeight="true" outlineLevel="0" collapsed="false">
      <c r="A28" s="47" t="n">
        <v>21</v>
      </c>
      <c r="B28" s="47" t="s">
        <v>54</v>
      </c>
      <c r="C28" s="27" t="n">
        <v>4685</v>
      </c>
      <c r="D28" s="27" t="n">
        <v>5333</v>
      </c>
      <c r="E28" s="27" t="n">
        <v>5873</v>
      </c>
      <c r="F28" s="27" t="n">
        <v>7661</v>
      </c>
      <c r="G28" s="27" t="n">
        <v>8251</v>
      </c>
      <c r="H28" s="27" t="n">
        <v>9797</v>
      </c>
      <c r="I28" s="27" t="n">
        <v>12400</v>
      </c>
      <c r="J28" s="27" t="n">
        <v>11609</v>
      </c>
      <c r="K28" s="27" t="n">
        <v>10790</v>
      </c>
      <c r="L28" s="27" t="n">
        <v>10855</v>
      </c>
      <c r="M28" s="27" t="n">
        <v>4851</v>
      </c>
      <c r="N28" s="27" t="n">
        <v>6232</v>
      </c>
      <c r="O28" s="42" t="n">
        <v>104902</v>
      </c>
    </row>
    <row r="29" customFormat="false" ht="21" hidden="false" customHeight="true" outlineLevel="0" collapsed="false">
      <c r="A29" s="47" t="n">
        <v>22</v>
      </c>
      <c r="B29" s="47" t="s">
        <v>55</v>
      </c>
      <c r="C29" s="28" t="n">
        <v>1179</v>
      </c>
      <c r="D29" s="28" t="n">
        <v>1088</v>
      </c>
      <c r="E29" s="28" t="n">
        <v>732</v>
      </c>
      <c r="F29" s="28" t="n">
        <v>731</v>
      </c>
      <c r="G29" s="28" t="n">
        <v>730</v>
      </c>
      <c r="H29" s="28" t="n">
        <v>816</v>
      </c>
      <c r="I29" s="28" t="n">
        <v>1537</v>
      </c>
      <c r="J29" s="28" t="n">
        <v>2097</v>
      </c>
      <c r="K29" s="28" t="n">
        <v>1721</v>
      </c>
      <c r="L29" s="28" t="n">
        <v>1512</v>
      </c>
      <c r="M29" s="28" t="n">
        <v>684</v>
      </c>
      <c r="N29" s="28" t="n">
        <v>928</v>
      </c>
      <c r="O29" s="42" t="n">
        <v>14320</v>
      </c>
    </row>
    <row r="30" customFormat="false" ht="21" hidden="false" customHeight="true" outlineLevel="0" collapsed="false">
      <c r="A30" s="47" t="n">
        <v>23</v>
      </c>
      <c r="B30" s="47" t="s">
        <v>96</v>
      </c>
      <c r="C30" s="27" t="n">
        <v>7927</v>
      </c>
      <c r="D30" s="27" t="n">
        <v>7849</v>
      </c>
      <c r="E30" s="27" t="n">
        <v>8084</v>
      </c>
      <c r="F30" s="27" t="n">
        <v>8466</v>
      </c>
      <c r="G30" s="27" t="n">
        <v>9451</v>
      </c>
      <c r="H30" s="27" t="n">
        <v>11488</v>
      </c>
      <c r="I30" s="27" t="n">
        <v>12574</v>
      </c>
      <c r="J30" s="27" t="n">
        <v>13190</v>
      </c>
      <c r="K30" s="27" t="n">
        <v>14437</v>
      </c>
      <c r="L30" s="27" t="n">
        <v>16014</v>
      </c>
      <c r="M30" s="27" t="n">
        <v>7932</v>
      </c>
      <c r="N30" s="27" t="n">
        <v>11934</v>
      </c>
      <c r="O30" s="42" t="n">
        <v>138555</v>
      </c>
    </row>
    <row r="31" customFormat="false" ht="21" hidden="false" customHeight="true" outlineLevel="0" collapsed="false">
      <c r="A31" s="47" t="n">
        <v>24</v>
      </c>
      <c r="B31" s="47" t="s">
        <v>57</v>
      </c>
      <c r="C31" s="28" t="s">
        <v>34</v>
      </c>
      <c r="D31" s="28" t="n">
        <v>38</v>
      </c>
      <c r="E31" s="28" t="n">
        <v>214</v>
      </c>
      <c r="F31" s="28" t="n">
        <v>213</v>
      </c>
      <c r="G31" s="28" t="n">
        <v>400</v>
      </c>
      <c r="H31" s="28" t="n">
        <v>416</v>
      </c>
      <c r="I31" s="28" t="n">
        <v>522</v>
      </c>
      <c r="J31" s="28" t="n">
        <v>758</v>
      </c>
      <c r="K31" s="28" t="n">
        <v>1113</v>
      </c>
      <c r="L31" s="28" t="n">
        <v>1638</v>
      </c>
      <c r="M31" s="28" t="n">
        <v>1470</v>
      </c>
      <c r="N31" s="28" t="n">
        <v>2417</v>
      </c>
      <c r="O31" s="42" t="n">
        <v>11899</v>
      </c>
    </row>
    <row r="32" customFormat="false" ht="21" hidden="false" customHeight="true" outlineLevel="0" collapsed="false">
      <c r="A32" s="47" t="n">
        <v>25</v>
      </c>
      <c r="B32" s="47" t="s">
        <v>58</v>
      </c>
      <c r="C32" s="27" t="n">
        <v>1240</v>
      </c>
      <c r="D32" s="27" t="n">
        <v>1638</v>
      </c>
      <c r="E32" s="27" t="n">
        <v>1667</v>
      </c>
      <c r="F32" s="27" t="n">
        <v>1648</v>
      </c>
      <c r="G32" s="27" t="n">
        <v>1875</v>
      </c>
      <c r="H32" s="27" t="n">
        <v>1864</v>
      </c>
      <c r="I32" s="27" t="n">
        <v>1994</v>
      </c>
      <c r="J32" s="27" t="n">
        <v>3068</v>
      </c>
      <c r="K32" s="27" t="n">
        <v>3026</v>
      </c>
      <c r="L32" s="27" t="n">
        <v>2520</v>
      </c>
      <c r="M32" s="27" t="n">
        <v>1263</v>
      </c>
      <c r="N32" s="27" t="n">
        <v>2038</v>
      </c>
      <c r="O32" s="42" t="n">
        <v>25177</v>
      </c>
    </row>
    <row r="33" customFormat="false" ht="21" hidden="false" customHeight="true" outlineLevel="0" collapsed="false">
      <c r="A33" s="47" t="n">
        <v>26</v>
      </c>
      <c r="B33" s="47" t="s">
        <v>59</v>
      </c>
      <c r="C33" s="28" t="n">
        <v>972</v>
      </c>
      <c r="D33" s="28" t="n">
        <v>1108</v>
      </c>
      <c r="E33" s="28" t="n">
        <v>1629</v>
      </c>
      <c r="F33" s="28" t="n">
        <v>1972</v>
      </c>
      <c r="G33" s="28" t="n">
        <v>1967</v>
      </c>
      <c r="H33" s="28" t="n">
        <v>1868</v>
      </c>
      <c r="I33" s="28" t="n">
        <v>1444</v>
      </c>
      <c r="J33" s="28" t="n">
        <v>1865</v>
      </c>
      <c r="K33" s="28" t="n">
        <v>1968</v>
      </c>
      <c r="L33" s="28" t="n">
        <v>1809</v>
      </c>
      <c r="M33" s="28" t="n">
        <v>848</v>
      </c>
      <c r="N33" s="28" t="n">
        <v>1218</v>
      </c>
      <c r="O33" s="42" t="n">
        <v>19656</v>
      </c>
    </row>
    <row r="34" customFormat="false" ht="21" hidden="false" customHeight="true" outlineLevel="0" collapsed="false">
      <c r="A34" s="47" t="n">
        <v>27</v>
      </c>
      <c r="B34" s="47" t="s">
        <v>60</v>
      </c>
      <c r="C34" s="27" t="n">
        <v>3754</v>
      </c>
      <c r="D34" s="27" t="n">
        <v>4203</v>
      </c>
      <c r="E34" s="27" t="n">
        <v>5837</v>
      </c>
      <c r="F34" s="27" t="n">
        <v>7004</v>
      </c>
      <c r="G34" s="27" t="n">
        <v>7145</v>
      </c>
      <c r="H34" s="27" t="n">
        <v>8437</v>
      </c>
      <c r="I34" s="27" t="n">
        <v>10199</v>
      </c>
      <c r="J34" s="27" t="n">
        <v>7975</v>
      </c>
      <c r="K34" s="27" t="n">
        <v>7501</v>
      </c>
      <c r="L34" s="27" t="n">
        <v>6884</v>
      </c>
      <c r="M34" s="27" t="n">
        <v>2750</v>
      </c>
      <c r="N34" s="27" t="n">
        <v>3316</v>
      </c>
      <c r="O34" s="42" t="n">
        <v>77622</v>
      </c>
    </row>
    <row r="35" customFormat="false" ht="21" hidden="false" customHeight="true" outlineLevel="0" collapsed="false">
      <c r="A35" s="47" t="n">
        <v>28</v>
      </c>
      <c r="B35" s="47" t="s">
        <v>121</v>
      </c>
      <c r="C35" s="28" t="s">
        <v>34</v>
      </c>
      <c r="D35" s="28" t="s">
        <v>34</v>
      </c>
      <c r="E35" s="28" t="s">
        <v>34</v>
      </c>
      <c r="F35" s="28" t="s">
        <v>34</v>
      </c>
      <c r="G35" s="28" t="s">
        <v>34</v>
      </c>
      <c r="H35" s="28" t="s">
        <v>34</v>
      </c>
      <c r="I35" s="28" t="n">
        <v>92</v>
      </c>
      <c r="J35" s="28" t="n">
        <v>41</v>
      </c>
      <c r="K35" s="28" t="n">
        <v>50</v>
      </c>
      <c r="L35" s="28" t="n">
        <v>34</v>
      </c>
      <c r="M35" s="28" t="n">
        <v>13</v>
      </c>
      <c r="N35" s="28" t="n">
        <v>27</v>
      </c>
      <c r="O35" s="42"/>
    </row>
    <row r="36" customFormat="false" ht="21" hidden="false" customHeight="true" outlineLevel="0" collapsed="false">
      <c r="A36" s="47" t="s">
        <v>88</v>
      </c>
      <c r="B36" s="47"/>
      <c r="C36" s="57" t="n">
        <f aca="false">SUM(C8:C35)</f>
        <v>399476</v>
      </c>
      <c r="D36" s="57" t="n">
        <f aca="false">SUM(D8:D35)</f>
        <v>430690</v>
      </c>
      <c r="E36" s="57" t="n">
        <f aca="false">SUM(E8:E35)</f>
        <v>473905</v>
      </c>
      <c r="F36" s="57" t="n">
        <f aca="false">SUM(F8:F35)</f>
        <v>488393</v>
      </c>
      <c r="G36" s="57" t="n">
        <f aca="false">SUM(G8:G35)</f>
        <v>532806</v>
      </c>
      <c r="H36" s="82" t="n">
        <f aca="false">SUM(H8:H35)</f>
        <v>593421</v>
      </c>
      <c r="I36" s="57" t="n">
        <f aca="false">SUM(I8:I35)</f>
        <v>711675</v>
      </c>
      <c r="J36" s="57" t="n">
        <f aca="false">SUM(J8:J35)</f>
        <v>738439</v>
      </c>
      <c r="K36" s="57" t="n">
        <f aca="false">SUM(K8:K35)</f>
        <v>771395</v>
      </c>
      <c r="L36" s="57" t="n">
        <f aca="false">SUM(L8:L35)</f>
        <v>771080</v>
      </c>
      <c r="M36" s="57" t="n">
        <f aca="false">SUM(M8:M35)</f>
        <v>346852</v>
      </c>
      <c r="N36" s="57" t="n">
        <f aca="false">SUM(N8:N35)</f>
        <v>496992</v>
      </c>
    </row>
    <row r="37" customFormat="false" ht="21" hidden="false" customHeight="true" outlineLevel="0" collapsed="false">
      <c r="A37" s="39" t="s">
        <v>106</v>
      </c>
      <c r="B37" s="39"/>
      <c r="C37" s="39"/>
      <c r="D37" s="83"/>
      <c r="E37" s="64"/>
      <c r="F37" s="64"/>
      <c r="G37" s="64"/>
      <c r="H37" s="64"/>
      <c r="I37" s="75"/>
      <c r="J37" s="75"/>
      <c r="K37" s="75"/>
      <c r="L37" s="75"/>
      <c r="M37" s="75"/>
      <c r="N37" s="75"/>
    </row>
    <row r="38" customFormat="false" ht="21" hidden="false" customHeight="true" outlineLevel="0" collapsed="false">
      <c r="A38" s="64"/>
      <c r="B38" s="76"/>
      <c r="C38" s="76"/>
      <c r="D38" s="76"/>
      <c r="E38" s="61"/>
      <c r="F38" s="61"/>
      <c r="G38" s="62"/>
      <c r="H38" s="77"/>
      <c r="I38" s="77"/>
      <c r="J38" s="84"/>
      <c r="K38" s="84"/>
      <c r="L38" s="84"/>
      <c r="M38" s="64"/>
      <c r="N38" s="41" t="s">
        <v>83</v>
      </c>
    </row>
    <row r="39" customFormat="false" ht="19.2" hidden="false" customHeight="false" outlineLevel="0" collapsed="false">
      <c r="A39" s="64"/>
    </row>
  </sheetData>
  <mergeCells count="13">
    <mergeCell ref="M1:N1"/>
    <mergeCell ref="B2:C2"/>
    <mergeCell ref="K2:L2"/>
    <mergeCell ref="M2:N2"/>
    <mergeCell ref="A3:N3"/>
    <mergeCell ref="B4:N4"/>
    <mergeCell ref="B5:E5"/>
    <mergeCell ref="A6:A7"/>
    <mergeCell ref="B6:B7"/>
    <mergeCell ref="C6:N6"/>
    <mergeCell ref="A36:B36"/>
    <mergeCell ref="A37:C37"/>
    <mergeCell ref="B38:D38"/>
  </mergeCells>
  <hyperlinks>
    <hyperlink ref="N38" location="'Index '!A1" display="Back to index"/>
  </hyperlinks>
  <printOptions headings="true" gridLines="false" gridLinesSet="true" horizontalCentered="false" verticalCentered="false"/>
  <pageMargins left="0.7" right="0.7" top="0.75" bottom="0.75" header="0.511811023622047" footer="0.511811023622047"/>
  <pageSetup paperSize="9" scale="1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false" showRowColHeaders="true" showZeros="true" rightToLeft="false" tabSelected="false" showOutlineSymbols="true" defaultGridColor="true" view="pageBreakPreview" topLeftCell="B1" colorId="64" zoomScale="85" zoomScaleNormal="100" zoomScalePageLayoutView="85" workbookViewId="0">
      <selection pane="topLeft" activeCell="M1" activeCellId="0" sqref="M1"/>
    </sheetView>
  </sheetViews>
  <sheetFormatPr defaultColWidth="9.1015625" defaultRowHeight="19.2" customHeight="false" zeroHeight="false" outlineLevelRow="0" outlineLevelCol="0"/>
  <cols>
    <col collapsed="false" customWidth="false" hidden="false" outlineLevel="0" max="1" min="1" style="4" width="9.1"/>
    <col collapsed="false" customWidth="true" hidden="false" outlineLevel="0" max="2" min="2" style="50" width="40.66"/>
    <col collapsed="false" customWidth="true" hidden="false" outlineLevel="0" max="11" min="3" style="4" width="18.66"/>
    <col collapsed="false" customWidth="true" hidden="false" outlineLevel="0" max="12" min="12" style="4" width="18.33"/>
    <col collapsed="false" customWidth="true" hidden="false" outlineLevel="0" max="13" min="13" style="4" width="18.66"/>
    <col collapsed="false" customWidth="true" hidden="false" outlineLevel="0" max="14" min="14" style="4" width="18.33"/>
    <col collapsed="false" customWidth="false" hidden="false" outlineLevel="0" max="15" min="15" style="7" width="9.1"/>
    <col collapsed="false" customWidth="true" hidden="false" outlineLevel="0" max="16" min="16" style="7" width="0.33"/>
    <col collapsed="false" customWidth="false" hidden="true" outlineLevel="0" max="18" min="17" style="7" width="9.1"/>
    <col collapsed="false" customWidth="false" hidden="false" outlineLevel="0" max="257" min="19" style="7" width="9.1"/>
  </cols>
  <sheetData>
    <row r="1" customFormat="false" ht="21" hidden="false" customHeight="true" outlineLevel="0" collapsed="false">
      <c r="M1" s="17" t="s">
        <v>17</v>
      </c>
      <c r="N1" s="17"/>
      <c r="O1" s="85"/>
    </row>
    <row r="2" customFormat="false" ht="21" hidden="false" customHeight="true" outlineLevel="0" collapsed="false">
      <c r="B2" s="17"/>
      <c r="C2" s="17"/>
      <c r="D2" s="51"/>
      <c r="E2" s="52"/>
      <c r="F2" s="51"/>
      <c r="G2" s="51"/>
      <c r="H2" s="51"/>
      <c r="I2" s="51"/>
      <c r="J2" s="51"/>
      <c r="K2" s="66"/>
      <c r="L2" s="66"/>
      <c r="M2" s="66"/>
      <c r="N2" s="66"/>
      <c r="O2" s="86"/>
    </row>
    <row r="3" customFormat="false" ht="54.75" hidden="false" customHeight="true" outlineLevel="0" collapsed="false">
      <c r="A3" s="65" t="s">
        <v>8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7"/>
    </row>
    <row r="4" customFormat="false" ht="21" hidden="false" customHeight="true" outlineLevel="0" collapsed="false"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67"/>
    </row>
    <row r="5" customFormat="false" ht="21" hidden="false" customHeight="true" outlineLevel="0" collapsed="false">
      <c r="B5" s="68"/>
      <c r="C5" s="68"/>
      <c r="D5" s="68"/>
      <c r="E5" s="68"/>
      <c r="F5" s="51"/>
      <c r="G5" s="51"/>
      <c r="H5" s="51"/>
      <c r="I5" s="51"/>
      <c r="J5" s="51"/>
      <c r="K5" s="51"/>
      <c r="L5" s="51"/>
      <c r="M5" s="51"/>
      <c r="N5" s="51"/>
      <c r="O5" s="22"/>
    </row>
    <row r="6" customFormat="false" ht="21" hidden="false" customHeight="true" outlineLevel="0" collapsed="false">
      <c r="A6" s="79" t="s">
        <v>19</v>
      </c>
      <c r="B6" s="69" t="s">
        <v>123</v>
      </c>
      <c r="C6" s="80" t="s">
        <v>145</v>
      </c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42"/>
    </row>
    <row r="7" customFormat="false" ht="21" hidden="false" customHeight="true" outlineLevel="0" collapsed="false">
      <c r="A7" s="79"/>
      <c r="B7" s="69"/>
      <c r="C7" s="81" t="n">
        <v>2010</v>
      </c>
      <c r="D7" s="81" t="n">
        <v>2011</v>
      </c>
      <c r="E7" s="81" t="n">
        <v>2012</v>
      </c>
      <c r="F7" s="81" t="n">
        <v>2013</v>
      </c>
      <c r="G7" s="81" t="n">
        <v>2014</v>
      </c>
      <c r="H7" s="81" t="n">
        <v>2015</v>
      </c>
      <c r="I7" s="81" t="n">
        <v>2016</v>
      </c>
      <c r="J7" s="81" t="n">
        <v>2017</v>
      </c>
      <c r="K7" s="81" t="n">
        <v>2018</v>
      </c>
      <c r="L7" s="81" t="n">
        <v>2019</v>
      </c>
      <c r="M7" s="81" t="n">
        <v>2020</v>
      </c>
      <c r="N7" s="81" t="n">
        <v>2021</v>
      </c>
      <c r="O7" s="42"/>
    </row>
    <row r="8" customFormat="false" ht="21" hidden="false" customHeight="true" outlineLevel="0" collapsed="false">
      <c r="A8" s="47" t="n">
        <v>1</v>
      </c>
      <c r="B8" s="47" t="s">
        <v>33</v>
      </c>
      <c r="C8" s="27" t="n">
        <v>230984</v>
      </c>
      <c r="D8" s="27" t="n">
        <v>268334</v>
      </c>
      <c r="E8" s="27" t="n">
        <v>327574</v>
      </c>
      <c r="F8" s="27" t="n">
        <v>328136</v>
      </c>
      <c r="G8" s="27" t="n">
        <v>347805</v>
      </c>
      <c r="H8" s="27" t="n">
        <v>375516</v>
      </c>
      <c r="I8" s="27" t="n">
        <v>404094</v>
      </c>
      <c r="J8" s="27" t="n">
        <v>478389</v>
      </c>
      <c r="K8" s="27" t="n">
        <v>476057</v>
      </c>
      <c r="L8" s="27" t="n">
        <v>441601</v>
      </c>
      <c r="M8" s="27" t="n">
        <v>202008</v>
      </c>
      <c r="N8" s="27" t="n">
        <v>272467</v>
      </c>
      <c r="O8" s="42"/>
    </row>
    <row r="9" customFormat="false" ht="21" hidden="false" customHeight="true" outlineLevel="0" collapsed="false">
      <c r="A9" s="47" t="n">
        <v>2</v>
      </c>
      <c r="B9" s="47" t="s">
        <v>108</v>
      </c>
      <c r="C9" s="28" t="n">
        <v>1437247</v>
      </c>
      <c r="D9" s="28" t="n">
        <v>1802362</v>
      </c>
      <c r="E9" s="28" t="n">
        <v>2134999</v>
      </c>
      <c r="F9" s="28" t="n">
        <v>2292394</v>
      </c>
      <c r="G9" s="28" t="n">
        <v>2567992</v>
      </c>
      <c r="H9" s="28" t="n">
        <v>3091876</v>
      </c>
      <c r="I9" s="28" t="n">
        <v>3384933</v>
      </c>
      <c r="J9" s="28" t="n">
        <v>3817102</v>
      </c>
      <c r="K9" s="28" t="n">
        <v>4498209</v>
      </c>
      <c r="L9" s="28" t="n">
        <v>4368153</v>
      </c>
      <c r="M9" s="28" t="n">
        <v>1849496</v>
      </c>
      <c r="N9" s="28" t="n">
        <v>2579867</v>
      </c>
      <c r="O9" s="42"/>
    </row>
    <row r="10" customFormat="false" ht="21" hidden="false" customHeight="true" outlineLevel="0" collapsed="false">
      <c r="A10" s="47" t="n">
        <v>3</v>
      </c>
      <c r="B10" s="47" t="s">
        <v>36</v>
      </c>
      <c r="C10" s="27" t="n">
        <v>278059</v>
      </c>
      <c r="D10" s="27" t="n">
        <v>302899</v>
      </c>
      <c r="E10" s="27" t="n">
        <v>311451</v>
      </c>
      <c r="F10" s="27" t="n">
        <v>323395</v>
      </c>
      <c r="G10" s="27" t="n">
        <v>341391</v>
      </c>
      <c r="H10" s="27" t="n">
        <v>444424</v>
      </c>
      <c r="I10" s="27" t="n">
        <v>571528</v>
      </c>
      <c r="J10" s="27" t="n">
        <v>606233</v>
      </c>
      <c r="K10" s="27" t="n">
        <v>594341</v>
      </c>
      <c r="L10" s="27" t="n">
        <v>595343</v>
      </c>
      <c r="M10" s="27" t="n">
        <v>263150</v>
      </c>
      <c r="N10" s="27" t="n">
        <v>393456</v>
      </c>
      <c r="O10" s="42"/>
    </row>
    <row r="11" customFormat="false" ht="21" hidden="false" customHeight="true" outlineLevel="0" collapsed="false">
      <c r="A11" s="47" t="n">
        <v>4</v>
      </c>
      <c r="B11" s="47" t="s">
        <v>146</v>
      </c>
      <c r="C11" s="28" t="n">
        <v>58680</v>
      </c>
      <c r="D11" s="28" t="n">
        <v>74480</v>
      </c>
      <c r="E11" s="28" t="n">
        <v>111728</v>
      </c>
      <c r="F11" s="28" t="n">
        <v>129487</v>
      </c>
      <c r="G11" s="28" t="n">
        <v>133451</v>
      </c>
      <c r="H11" s="28" t="n">
        <v>138318</v>
      </c>
      <c r="I11" s="28" t="n">
        <v>170367</v>
      </c>
      <c r="J11" s="28" t="n">
        <v>261387</v>
      </c>
      <c r="K11" s="28" t="n">
        <v>292807</v>
      </c>
      <c r="L11" s="28" t="n">
        <v>321891</v>
      </c>
      <c r="M11" s="28" t="n">
        <v>112438</v>
      </c>
      <c r="N11" s="28" t="n">
        <v>190915</v>
      </c>
      <c r="O11" s="42"/>
    </row>
    <row r="12" customFormat="false" ht="21" hidden="false" customHeight="true" outlineLevel="0" collapsed="false">
      <c r="A12" s="47" t="n">
        <v>5</v>
      </c>
      <c r="B12" s="47" t="s">
        <v>38</v>
      </c>
      <c r="C12" s="27" t="n">
        <v>237678</v>
      </c>
      <c r="D12" s="27" t="n">
        <v>274754</v>
      </c>
      <c r="E12" s="27" t="n">
        <v>336308</v>
      </c>
      <c r="F12" s="27" t="n">
        <v>363307</v>
      </c>
      <c r="G12" s="27" t="n">
        <v>386495</v>
      </c>
      <c r="H12" s="27" t="n">
        <v>376641</v>
      </c>
      <c r="I12" s="27" t="n">
        <v>376150</v>
      </c>
      <c r="J12" s="27" t="n">
        <v>451789</v>
      </c>
      <c r="K12" s="27" t="n">
        <v>473891</v>
      </c>
      <c r="L12" s="27" t="n">
        <v>476076</v>
      </c>
      <c r="M12" s="27" t="n">
        <v>197809</v>
      </c>
      <c r="N12" s="27" t="n">
        <v>307128</v>
      </c>
      <c r="O12" s="42"/>
    </row>
    <row r="13" customFormat="false" ht="21" hidden="false" customHeight="true" outlineLevel="0" collapsed="false">
      <c r="A13" s="47" t="n">
        <v>6</v>
      </c>
      <c r="B13" s="47" t="s">
        <v>39</v>
      </c>
      <c r="C13" s="28" t="n">
        <v>4579263</v>
      </c>
      <c r="D13" s="28" t="n">
        <v>5308443</v>
      </c>
      <c r="E13" s="28" t="n">
        <v>6135529</v>
      </c>
      <c r="F13" s="28" t="n">
        <v>6872352</v>
      </c>
      <c r="G13" s="28" t="n">
        <v>8042119</v>
      </c>
      <c r="H13" s="28" t="n">
        <v>9146857</v>
      </c>
      <c r="I13" s="28" t="n">
        <v>9711334</v>
      </c>
      <c r="J13" s="28" t="n">
        <v>10149829</v>
      </c>
      <c r="K13" s="28" t="n">
        <v>10454913</v>
      </c>
      <c r="L13" s="28" t="n">
        <v>11168383</v>
      </c>
      <c r="M13" s="28" t="n">
        <v>4237774</v>
      </c>
      <c r="N13" s="28" t="n">
        <v>5971668</v>
      </c>
      <c r="O13" s="42"/>
    </row>
    <row r="14" customFormat="false" ht="21" hidden="false" customHeight="true" outlineLevel="0" collapsed="false">
      <c r="A14" s="47" t="n">
        <v>7</v>
      </c>
      <c r="B14" s="47" t="s">
        <v>40</v>
      </c>
      <c r="C14" s="27" t="n">
        <v>12104</v>
      </c>
      <c r="D14" s="27" t="n">
        <v>14711</v>
      </c>
      <c r="E14" s="27" t="n">
        <v>19235</v>
      </c>
      <c r="F14" s="27" t="n">
        <v>21374</v>
      </c>
      <c r="G14" s="27" t="n">
        <v>22122</v>
      </c>
      <c r="H14" s="27" t="n">
        <v>23468</v>
      </c>
      <c r="I14" s="27" t="n">
        <v>22971</v>
      </c>
      <c r="J14" s="27" t="n">
        <v>30505</v>
      </c>
      <c r="K14" s="27" t="n">
        <v>34536</v>
      </c>
      <c r="L14" s="27" t="n">
        <v>37757</v>
      </c>
      <c r="M14" s="27" t="n">
        <v>9273</v>
      </c>
      <c r="N14" s="27" t="n">
        <v>12072</v>
      </c>
      <c r="O14" s="42"/>
    </row>
    <row r="15" customFormat="false" ht="21" hidden="false" customHeight="true" outlineLevel="0" collapsed="false">
      <c r="A15" s="47" t="n">
        <v>8</v>
      </c>
      <c r="B15" s="47" t="s">
        <v>132</v>
      </c>
      <c r="C15" s="28" t="n">
        <v>415847</v>
      </c>
      <c r="D15" s="28" t="n">
        <v>481404</v>
      </c>
      <c r="E15" s="28" t="n">
        <v>546188</v>
      </c>
      <c r="F15" s="28" t="n">
        <v>578350</v>
      </c>
      <c r="G15" s="28" t="n">
        <v>609623</v>
      </c>
      <c r="H15" s="28" t="n">
        <v>226036</v>
      </c>
      <c r="I15" s="28" t="n">
        <v>265</v>
      </c>
      <c r="J15" s="28" t="n">
        <v>1019</v>
      </c>
      <c r="K15" s="28" t="n">
        <v>1133</v>
      </c>
      <c r="L15" s="28" t="n">
        <v>212044</v>
      </c>
      <c r="M15" s="28" t="n">
        <v>304794</v>
      </c>
      <c r="N15" s="28" t="n">
        <v>530915</v>
      </c>
      <c r="O15" s="42"/>
    </row>
    <row r="16" customFormat="false" ht="21" hidden="false" customHeight="true" outlineLevel="0" collapsed="false">
      <c r="A16" s="47" t="n">
        <v>9</v>
      </c>
      <c r="B16" s="47" t="s">
        <v>115</v>
      </c>
      <c r="C16" s="27" t="n">
        <v>50874</v>
      </c>
      <c r="D16" s="27" t="n">
        <v>51268</v>
      </c>
      <c r="E16" s="27" t="n">
        <v>35061</v>
      </c>
      <c r="F16" s="27" t="n">
        <v>35407</v>
      </c>
      <c r="G16" s="27" t="n">
        <v>41365</v>
      </c>
      <c r="H16" s="27" t="n">
        <v>48380</v>
      </c>
      <c r="I16" s="27" t="n">
        <v>52756</v>
      </c>
      <c r="J16" s="27" t="n">
        <v>55741</v>
      </c>
      <c r="K16" s="27" t="n">
        <v>55822</v>
      </c>
      <c r="L16" s="27" t="n">
        <v>60108</v>
      </c>
      <c r="M16" s="27" t="n">
        <v>21206</v>
      </c>
      <c r="N16" s="27" t="n">
        <v>40347</v>
      </c>
      <c r="O16" s="42"/>
    </row>
    <row r="17" customFormat="false" ht="21" hidden="false" customHeight="true" outlineLevel="0" collapsed="false">
      <c r="A17" s="47" t="n">
        <v>10</v>
      </c>
      <c r="B17" s="47" t="s">
        <v>43</v>
      </c>
      <c r="C17" s="28" t="n">
        <v>409031</v>
      </c>
      <c r="D17" s="28" t="n">
        <v>592381</v>
      </c>
      <c r="E17" s="28" t="n">
        <v>750971</v>
      </c>
      <c r="F17" s="28" t="n">
        <v>900600</v>
      </c>
      <c r="G17" s="28" t="n">
        <v>1003102</v>
      </c>
      <c r="H17" s="28" t="n">
        <v>1422582</v>
      </c>
      <c r="I17" s="28" t="n">
        <v>1665294</v>
      </c>
      <c r="J17" s="28" t="n">
        <v>1650185</v>
      </c>
      <c r="K17" s="28" t="n">
        <v>1635111</v>
      </c>
      <c r="L17" s="28" t="n">
        <v>1652703</v>
      </c>
      <c r="M17" s="28" t="n">
        <v>477945</v>
      </c>
      <c r="N17" s="28" t="n">
        <v>602444</v>
      </c>
      <c r="O17" s="42"/>
    </row>
    <row r="18" customFormat="false" ht="21" hidden="false" customHeight="true" outlineLevel="0" collapsed="false">
      <c r="A18" s="47" t="n">
        <v>11</v>
      </c>
      <c r="B18" s="47" t="s">
        <v>44</v>
      </c>
      <c r="C18" s="27" t="n">
        <v>901162</v>
      </c>
      <c r="D18" s="27" t="n">
        <v>917899</v>
      </c>
      <c r="E18" s="27" t="n">
        <v>1195009</v>
      </c>
      <c r="F18" s="27" t="n">
        <v>1233644</v>
      </c>
      <c r="G18" s="27" t="n">
        <v>1522591</v>
      </c>
      <c r="H18" s="27" t="n">
        <v>1673995</v>
      </c>
      <c r="I18" s="27" t="n">
        <v>1853085</v>
      </c>
      <c r="J18" s="27" t="n">
        <v>2077902</v>
      </c>
      <c r="K18" s="27" t="n">
        <v>2624452</v>
      </c>
      <c r="L18" s="27" t="n">
        <v>2836812</v>
      </c>
      <c r="M18" s="27" t="n">
        <v>1347637</v>
      </c>
      <c r="N18" s="27" t="n">
        <v>1733987</v>
      </c>
      <c r="O18" s="42"/>
    </row>
    <row r="19" customFormat="false" ht="21" hidden="false" customHeight="true" outlineLevel="0" collapsed="false">
      <c r="A19" s="47" t="n">
        <v>12</v>
      </c>
      <c r="B19" s="47" t="s">
        <v>93</v>
      </c>
      <c r="C19" s="28" t="n">
        <v>291148</v>
      </c>
      <c r="D19" s="28" t="n">
        <v>332835</v>
      </c>
      <c r="E19" s="28" t="n">
        <v>494794</v>
      </c>
      <c r="F19" s="28" t="n">
        <v>561141</v>
      </c>
      <c r="G19" s="28" t="n">
        <v>692409</v>
      </c>
      <c r="H19" s="28" t="n">
        <v>798719</v>
      </c>
      <c r="I19" s="28" t="n">
        <v>826288</v>
      </c>
      <c r="J19" s="28" t="n">
        <v>1024013</v>
      </c>
      <c r="K19" s="28" t="n">
        <v>1252906</v>
      </c>
      <c r="L19" s="28" t="n">
        <v>1078469</v>
      </c>
      <c r="M19" s="28" t="n">
        <v>349595</v>
      </c>
      <c r="N19" s="28" t="n">
        <v>475721</v>
      </c>
      <c r="O19" s="42"/>
    </row>
    <row r="20" customFormat="false" ht="21" hidden="false" customHeight="true" outlineLevel="0" collapsed="false">
      <c r="A20" s="47" t="n">
        <v>13</v>
      </c>
      <c r="B20" s="47" t="s">
        <v>134</v>
      </c>
      <c r="C20" s="27" t="n">
        <v>23858</v>
      </c>
      <c r="D20" s="27" t="n">
        <v>25333</v>
      </c>
      <c r="E20" s="27" t="n">
        <v>28362</v>
      </c>
      <c r="F20" s="27" t="n">
        <v>41651</v>
      </c>
      <c r="G20" s="27" t="n">
        <v>87479</v>
      </c>
      <c r="H20" s="27" t="n">
        <v>149140</v>
      </c>
      <c r="I20" s="27" t="n">
        <v>333839</v>
      </c>
      <c r="J20" s="27" t="n">
        <v>253268</v>
      </c>
      <c r="K20" s="27" t="n">
        <v>171304</v>
      </c>
      <c r="L20" s="27" t="n">
        <v>179599</v>
      </c>
      <c r="M20" s="27" t="n">
        <v>96667</v>
      </c>
      <c r="N20" s="27" t="n">
        <v>109044</v>
      </c>
      <c r="O20" s="42"/>
    </row>
    <row r="21" customFormat="false" ht="21" hidden="false" customHeight="true" outlineLevel="0" collapsed="false">
      <c r="A21" s="47" t="n">
        <v>14</v>
      </c>
      <c r="B21" s="47" t="s">
        <v>47</v>
      </c>
      <c r="C21" s="28" t="n">
        <v>17175822</v>
      </c>
      <c r="D21" s="28" t="n">
        <v>19170191</v>
      </c>
      <c r="E21" s="28" t="n">
        <v>20437576</v>
      </c>
      <c r="F21" s="28" t="n">
        <v>20921111</v>
      </c>
      <c r="G21" s="28" t="n">
        <v>24458313</v>
      </c>
      <c r="H21" s="28" t="n">
        <v>28546916</v>
      </c>
      <c r="I21" s="28" t="n">
        <v>31175266</v>
      </c>
      <c r="J21" s="28" t="n">
        <v>34173938</v>
      </c>
      <c r="K21" s="28" t="n">
        <v>36036841</v>
      </c>
      <c r="L21" s="28" t="n">
        <v>37570007</v>
      </c>
      <c r="M21" s="28" t="n">
        <v>12187411</v>
      </c>
      <c r="N21" s="28" t="n">
        <v>14117611</v>
      </c>
      <c r="O21" s="42"/>
    </row>
    <row r="22" customFormat="false" ht="21" hidden="false" customHeight="true" outlineLevel="0" collapsed="false">
      <c r="A22" s="47" t="n">
        <v>15</v>
      </c>
      <c r="B22" s="47" t="s">
        <v>48</v>
      </c>
      <c r="C22" s="27" t="n">
        <v>2894187</v>
      </c>
      <c r="D22" s="27" t="n">
        <v>3255448</v>
      </c>
      <c r="E22" s="27" t="n">
        <v>3822115</v>
      </c>
      <c r="F22" s="27" t="n">
        <v>3677054</v>
      </c>
      <c r="G22" s="27" t="n">
        <v>4321333</v>
      </c>
      <c r="H22" s="27" t="n">
        <v>5831163</v>
      </c>
      <c r="I22" s="27" t="n">
        <v>6572787</v>
      </c>
      <c r="J22" s="27" t="n">
        <v>7805323</v>
      </c>
      <c r="K22" s="27" t="n">
        <v>8144790</v>
      </c>
      <c r="L22" s="27" t="n">
        <v>8383973</v>
      </c>
      <c r="M22" s="27" t="n">
        <v>2247905</v>
      </c>
      <c r="N22" s="27" t="n">
        <v>1757979</v>
      </c>
      <c r="O22" s="42"/>
    </row>
    <row r="23" customFormat="false" ht="21" hidden="false" customHeight="true" outlineLevel="0" collapsed="false">
      <c r="A23" s="47" t="n">
        <v>16</v>
      </c>
      <c r="B23" s="47" t="s">
        <v>49</v>
      </c>
      <c r="C23" s="28" t="s">
        <v>34</v>
      </c>
      <c r="D23" s="28" t="s">
        <v>34</v>
      </c>
      <c r="E23" s="28" t="s">
        <v>34</v>
      </c>
      <c r="F23" s="28" t="s">
        <v>34</v>
      </c>
      <c r="G23" s="28" t="s">
        <v>34</v>
      </c>
      <c r="H23" s="28" t="s">
        <v>34</v>
      </c>
      <c r="I23" s="28" t="s">
        <v>34</v>
      </c>
      <c r="J23" s="28" t="s">
        <v>34</v>
      </c>
      <c r="K23" s="28" t="s">
        <v>34</v>
      </c>
      <c r="L23" s="28" t="n">
        <v>5311</v>
      </c>
      <c r="M23" s="28" t="n">
        <v>5061</v>
      </c>
      <c r="N23" s="28" t="n">
        <v>6443</v>
      </c>
      <c r="O23" s="42"/>
    </row>
    <row r="24" customFormat="false" ht="21" hidden="false" customHeight="true" outlineLevel="0" collapsed="false">
      <c r="A24" s="47" t="n">
        <v>17</v>
      </c>
      <c r="B24" s="47" t="s">
        <v>50</v>
      </c>
      <c r="C24" s="27" t="n">
        <v>160191</v>
      </c>
      <c r="D24" s="27" t="n">
        <v>180328</v>
      </c>
      <c r="E24" s="27" t="n">
        <v>191571</v>
      </c>
      <c r="F24" s="27" t="n">
        <v>201853</v>
      </c>
      <c r="G24" s="27" t="n">
        <v>211349</v>
      </c>
      <c r="H24" s="27" t="n">
        <v>230083</v>
      </c>
      <c r="I24" s="27" t="n">
        <v>251995</v>
      </c>
      <c r="J24" s="27" t="n">
        <v>285926</v>
      </c>
      <c r="K24" s="27" t="n">
        <v>346100</v>
      </c>
      <c r="L24" s="27" t="n">
        <v>345764</v>
      </c>
      <c r="M24" s="27" t="n">
        <v>181606</v>
      </c>
      <c r="N24" s="27" t="n">
        <v>247384</v>
      </c>
      <c r="O24" s="42"/>
    </row>
    <row r="25" customFormat="false" ht="21" hidden="false" customHeight="true" outlineLevel="0" collapsed="false">
      <c r="A25" s="47" t="n">
        <v>18</v>
      </c>
      <c r="B25" s="47" t="s">
        <v>137</v>
      </c>
      <c r="C25" s="28" t="n">
        <v>25113</v>
      </c>
      <c r="D25" s="28" t="n">
        <v>37145</v>
      </c>
      <c r="E25" s="28" t="n">
        <v>43055</v>
      </c>
      <c r="F25" s="28" t="n">
        <v>52661</v>
      </c>
      <c r="G25" s="28" t="n">
        <v>56573</v>
      </c>
      <c r="H25" s="28" t="n">
        <v>70396</v>
      </c>
      <c r="I25" s="28" t="n">
        <v>77132</v>
      </c>
      <c r="J25" s="28" t="n">
        <v>89045</v>
      </c>
      <c r="K25" s="28" t="n">
        <v>90042</v>
      </c>
      <c r="L25" s="28" t="n">
        <v>90757</v>
      </c>
      <c r="M25" s="28" t="n">
        <v>42595</v>
      </c>
      <c r="N25" s="28" t="n">
        <v>60812</v>
      </c>
      <c r="O25" s="42"/>
    </row>
    <row r="26" customFormat="false" ht="21" hidden="false" customHeight="true" outlineLevel="0" collapsed="false">
      <c r="A26" s="47" t="n">
        <v>19</v>
      </c>
      <c r="B26" s="47" t="s">
        <v>138</v>
      </c>
      <c r="C26" s="27" t="n">
        <v>13553707</v>
      </c>
      <c r="D26" s="27" t="n">
        <v>14901374</v>
      </c>
      <c r="E26" s="27" t="n">
        <v>17025512</v>
      </c>
      <c r="F26" s="27" t="n">
        <v>18300051</v>
      </c>
      <c r="G26" s="27" t="n">
        <v>20352305</v>
      </c>
      <c r="H26" s="27" t="n">
        <v>22738167</v>
      </c>
      <c r="I26" s="27" t="n">
        <v>23777773</v>
      </c>
      <c r="J26" s="27" t="n">
        <v>26378792</v>
      </c>
      <c r="K26" s="27" t="n">
        <v>28126631</v>
      </c>
      <c r="L26" s="27" t="n">
        <v>29084238</v>
      </c>
      <c r="M26" s="27" t="n">
        <v>11403968</v>
      </c>
      <c r="N26" s="27" t="n">
        <v>16845937</v>
      </c>
      <c r="O26" s="42"/>
    </row>
    <row r="27" customFormat="false" ht="21" hidden="false" customHeight="true" outlineLevel="0" collapsed="false">
      <c r="A27" s="47" t="n">
        <v>20</v>
      </c>
      <c r="B27" s="47" t="s">
        <v>53</v>
      </c>
      <c r="C27" s="28" t="n">
        <v>95653</v>
      </c>
      <c r="D27" s="28" t="n">
        <v>94416</v>
      </c>
      <c r="E27" s="28" t="n">
        <v>100490</v>
      </c>
      <c r="F27" s="28" t="n">
        <v>114866</v>
      </c>
      <c r="G27" s="28" t="n">
        <v>128003</v>
      </c>
      <c r="H27" s="28" t="n">
        <v>178329</v>
      </c>
      <c r="I27" s="28" t="n">
        <v>221071</v>
      </c>
      <c r="J27" s="28" t="n">
        <v>260309</v>
      </c>
      <c r="K27" s="28" t="n">
        <v>273830</v>
      </c>
      <c r="L27" s="28" t="n">
        <v>259894</v>
      </c>
      <c r="M27" s="28" t="n">
        <v>114744</v>
      </c>
      <c r="N27" s="28" t="n">
        <v>164316</v>
      </c>
      <c r="O27" s="42"/>
    </row>
    <row r="28" customFormat="false" ht="21" hidden="false" customHeight="true" outlineLevel="0" collapsed="false">
      <c r="A28" s="47" t="n">
        <v>21</v>
      </c>
      <c r="B28" s="47" t="s">
        <v>54</v>
      </c>
      <c r="C28" s="27" t="n">
        <v>348030</v>
      </c>
      <c r="D28" s="27" t="n">
        <v>528174</v>
      </c>
      <c r="E28" s="27" t="n">
        <v>661170</v>
      </c>
      <c r="F28" s="27" t="n">
        <v>823636</v>
      </c>
      <c r="G28" s="27" t="n">
        <v>920530</v>
      </c>
      <c r="H28" s="27" t="n">
        <v>1146193</v>
      </c>
      <c r="I28" s="27" t="n">
        <v>1241487</v>
      </c>
      <c r="J28" s="27" t="n">
        <v>1095649</v>
      </c>
      <c r="K28" s="27" t="n">
        <v>1173913</v>
      </c>
      <c r="L28" s="27" t="n">
        <v>1174246</v>
      </c>
      <c r="M28" s="27" t="n">
        <v>463302</v>
      </c>
      <c r="N28" s="27" t="n">
        <v>570040</v>
      </c>
      <c r="O28" s="42"/>
    </row>
    <row r="29" customFormat="false" ht="21" hidden="false" customHeight="true" outlineLevel="0" collapsed="false">
      <c r="A29" s="47" t="n">
        <v>22</v>
      </c>
      <c r="B29" s="47" t="s">
        <v>55</v>
      </c>
      <c r="C29" s="28" t="n">
        <v>57745</v>
      </c>
      <c r="D29" s="28" t="n">
        <v>46084</v>
      </c>
      <c r="E29" s="28" t="n">
        <v>39515</v>
      </c>
      <c r="F29" s="28" t="n">
        <v>40852</v>
      </c>
      <c r="G29" s="28" t="n">
        <v>42185</v>
      </c>
      <c r="H29" s="28" t="n">
        <v>49802</v>
      </c>
      <c r="I29" s="28" t="n">
        <v>78526</v>
      </c>
      <c r="J29" s="28" t="n">
        <v>103068</v>
      </c>
      <c r="K29" s="28" t="n">
        <v>106532</v>
      </c>
      <c r="L29" s="28" t="n">
        <v>104678</v>
      </c>
      <c r="M29" s="28" t="n">
        <v>43292</v>
      </c>
      <c r="N29" s="28" t="n">
        <v>60389</v>
      </c>
      <c r="O29" s="42"/>
    </row>
    <row r="30" customFormat="false" ht="21" hidden="false" customHeight="true" outlineLevel="0" collapsed="false">
      <c r="A30" s="47" t="n">
        <v>23</v>
      </c>
      <c r="B30" s="47" t="s">
        <v>96</v>
      </c>
      <c r="C30" s="27" t="n">
        <v>685707</v>
      </c>
      <c r="D30" s="27" t="n">
        <v>793594</v>
      </c>
      <c r="E30" s="27" t="n">
        <v>977445</v>
      </c>
      <c r="F30" s="27" t="n">
        <v>993143</v>
      </c>
      <c r="G30" s="27" t="n">
        <v>1090166</v>
      </c>
      <c r="H30" s="27" t="n">
        <v>1307879</v>
      </c>
      <c r="I30" s="27" t="n">
        <v>1327329</v>
      </c>
      <c r="J30" s="27" t="n">
        <v>1394129</v>
      </c>
      <c r="K30" s="27" t="n">
        <v>1589288</v>
      </c>
      <c r="L30" s="27" t="n">
        <v>1786960</v>
      </c>
      <c r="M30" s="27" t="n">
        <v>791375</v>
      </c>
      <c r="N30" s="27" t="n">
        <v>1107575</v>
      </c>
      <c r="O30" s="42"/>
    </row>
    <row r="31" customFormat="false" ht="21" hidden="false" customHeight="true" outlineLevel="0" collapsed="false">
      <c r="A31" s="47" t="n">
        <v>24</v>
      </c>
      <c r="B31" s="47" t="s">
        <v>57</v>
      </c>
      <c r="C31" s="28"/>
      <c r="D31" s="28" t="n">
        <v>1027</v>
      </c>
      <c r="E31" s="28" t="n">
        <v>8610</v>
      </c>
      <c r="F31" s="28" t="n">
        <v>9139</v>
      </c>
      <c r="G31" s="28" t="n">
        <v>14138</v>
      </c>
      <c r="H31" s="28" t="n">
        <v>21999</v>
      </c>
      <c r="I31" s="28" t="n">
        <v>22944</v>
      </c>
      <c r="J31" s="28" t="n">
        <v>25143</v>
      </c>
      <c r="K31" s="28" t="n">
        <v>34229</v>
      </c>
      <c r="L31" s="28" t="n">
        <v>61138</v>
      </c>
      <c r="M31" s="28" t="n">
        <v>48778</v>
      </c>
      <c r="N31" s="28" t="n">
        <v>78337</v>
      </c>
      <c r="O31" s="42"/>
    </row>
    <row r="32" customFormat="false" ht="21" hidden="false" customHeight="true" outlineLevel="0" collapsed="false">
      <c r="A32" s="47" t="n">
        <v>25</v>
      </c>
      <c r="B32" s="47" t="s">
        <v>58</v>
      </c>
      <c r="C32" s="27" t="n">
        <v>105595</v>
      </c>
      <c r="D32" s="27" t="n">
        <v>146207</v>
      </c>
      <c r="E32" s="27" t="n">
        <v>164924</v>
      </c>
      <c r="F32" s="27" t="n">
        <v>168187</v>
      </c>
      <c r="G32" s="27" t="n">
        <v>190545</v>
      </c>
      <c r="H32" s="27" t="n">
        <v>206783</v>
      </c>
      <c r="I32" s="27" t="n">
        <v>189041</v>
      </c>
      <c r="J32" s="27" t="n">
        <v>236690</v>
      </c>
      <c r="K32" s="27" t="n">
        <v>258305</v>
      </c>
      <c r="L32" s="27" t="n">
        <v>242994</v>
      </c>
      <c r="M32" s="27" t="n">
        <v>103780</v>
      </c>
      <c r="N32" s="27" t="n">
        <v>173434</v>
      </c>
      <c r="O32" s="42"/>
    </row>
    <row r="33" customFormat="false" ht="21" hidden="false" customHeight="true" outlineLevel="0" collapsed="false">
      <c r="A33" s="47" t="n">
        <v>26</v>
      </c>
      <c r="B33" s="47" t="s">
        <v>59</v>
      </c>
      <c r="C33" s="28" t="n">
        <v>58302</v>
      </c>
      <c r="D33" s="28" t="n">
        <v>68556</v>
      </c>
      <c r="E33" s="28" t="n">
        <v>96093</v>
      </c>
      <c r="F33" s="28" t="n">
        <v>110310</v>
      </c>
      <c r="G33" s="28" t="n">
        <v>109265</v>
      </c>
      <c r="H33" s="28" t="n">
        <v>111462</v>
      </c>
      <c r="I33" s="28" t="n">
        <v>117528</v>
      </c>
      <c r="J33" s="28" t="n">
        <v>139165</v>
      </c>
      <c r="K33" s="28" t="n">
        <v>153962</v>
      </c>
      <c r="L33" s="28" t="n">
        <v>151578</v>
      </c>
      <c r="M33" s="28" t="n">
        <v>53648</v>
      </c>
      <c r="N33" s="28" t="n">
        <v>74056</v>
      </c>
      <c r="O33" s="42"/>
    </row>
    <row r="34" customFormat="false" ht="21" hidden="false" customHeight="true" outlineLevel="0" collapsed="false">
      <c r="A34" s="47" t="n">
        <v>27</v>
      </c>
      <c r="B34" s="47" t="s">
        <v>60</v>
      </c>
      <c r="C34" s="27" t="n">
        <v>307376</v>
      </c>
      <c r="D34" s="27" t="n">
        <v>336298</v>
      </c>
      <c r="E34" s="27" t="n">
        <v>554374</v>
      </c>
      <c r="F34" s="27" t="n">
        <v>620479</v>
      </c>
      <c r="G34" s="27" t="n">
        <v>666638</v>
      </c>
      <c r="H34" s="27" t="n">
        <v>919950</v>
      </c>
      <c r="I34" s="27" t="n">
        <v>1029179</v>
      </c>
      <c r="J34" s="27" t="n">
        <v>761223</v>
      </c>
      <c r="K34" s="27" t="n">
        <v>769437</v>
      </c>
      <c r="L34" s="27" t="n">
        <v>696662</v>
      </c>
      <c r="M34" s="27" t="n">
        <v>247216</v>
      </c>
      <c r="N34" s="27" t="n">
        <v>237029</v>
      </c>
      <c r="O34" s="42"/>
    </row>
    <row r="35" customFormat="false" ht="21" hidden="false" customHeight="true" outlineLevel="0" collapsed="false">
      <c r="A35" s="47" t="n">
        <v>28</v>
      </c>
      <c r="B35" s="47" t="s">
        <v>121</v>
      </c>
      <c r="C35" s="28" t="s">
        <v>34</v>
      </c>
      <c r="D35" s="28" t="s">
        <v>34</v>
      </c>
      <c r="E35" s="28" t="s">
        <v>34</v>
      </c>
      <c r="F35" s="28" t="s">
        <v>34</v>
      </c>
      <c r="G35" s="28" t="s">
        <v>34</v>
      </c>
      <c r="H35" s="28" t="s">
        <v>34</v>
      </c>
      <c r="I35" s="28" t="n">
        <v>135</v>
      </c>
      <c r="J35" s="28" t="n">
        <v>42</v>
      </c>
      <c r="K35" s="28" t="n">
        <v>93</v>
      </c>
      <c r="L35" s="28" t="n">
        <v>77</v>
      </c>
      <c r="M35" s="28" t="n">
        <v>27</v>
      </c>
      <c r="N35" s="28" t="n">
        <v>115</v>
      </c>
      <c r="O35" s="42"/>
    </row>
    <row r="36" customFormat="false" ht="21" hidden="false" customHeight="true" outlineLevel="0" collapsed="false">
      <c r="A36" s="47" t="s">
        <v>88</v>
      </c>
      <c r="B36" s="47"/>
      <c r="C36" s="73" t="n">
        <f aca="false">SUM(C8:C35)</f>
        <v>44393363</v>
      </c>
      <c r="D36" s="73" t="n">
        <f aca="false">SUM(D8:D35)</f>
        <v>50005945</v>
      </c>
      <c r="E36" s="73" t="n">
        <f aca="false">SUM(E8:E35)</f>
        <v>56549659</v>
      </c>
      <c r="F36" s="73" t="n">
        <f aca="false">SUM(F8:F35)</f>
        <v>59714580</v>
      </c>
      <c r="G36" s="73" t="n">
        <f aca="false">SUM(G8:G35)</f>
        <v>68359287</v>
      </c>
      <c r="H36" s="73" t="n">
        <f aca="false">SUM(H8:H35)</f>
        <v>79275074</v>
      </c>
      <c r="I36" s="73" t="n">
        <f aca="false">SUM(I8:I35)</f>
        <v>85455097</v>
      </c>
      <c r="J36" s="73" t="n">
        <f aca="false">SUM(J8:J35)</f>
        <v>93605804</v>
      </c>
      <c r="K36" s="73" t="n">
        <f aca="false">SUM(K8:K35)</f>
        <v>99669475</v>
      </c>
      <c r="L36" s="73" t="n">
        <f aca="false">SUM(L8:L35)</f>
        <v>103387216</v>
      </c>
      <c r="M36" s="73" t="n">
        <f aca="false">SUM(M8:M35)</f>
        <v>37404500</v>
      </c>
      <c r="N36" s="73" t="n">
        <f aca="false">SUM(N8:N35)</f>
        <v>48721488</v>
      </c>
      <c r="O36" s="42"/>
    </row>
    <row r="37" customFormat="false" ht="21" hidden="false" customHeight="true" outlineLevel="0" collapsed="false">
      <c r="A37" s="39" t="s">
        <v>106</v>
      </c>
      <c r="B37" s="39"/>
      <c r="C37" s="39"/>
      <c r="D37" s="83"/>
      <c r="E37" s="64"/>
      <c r="F37" s="64"/>
      <c r="G37" s="64"/>
      <c r="H37" s="64"/>
      <c r="I37" s="75"/>
      <c r="J37" s="75"/>
      <c r="K37" s="75"/>
      <c r="L37" s="75"/>
      <c r="M37" s="75"/>
      <c r="N37" s="75"/>
      <c r="O37" s="42"/>
    </row>
    <row r="38" customFormat="false" ht="21" hidden="false" customHeight="true" outlineLevel="0" collapsed="false">
      <c r="A38" s="64"/>
      <c r="B38" s="76"/>
      <c r="C38" s="76"/>
      <c r="D38" s="76"/>
      <c r="E38" s="61"/>
      <c r="F38" s="61"/>
      <c r="G38" s="62"/>
      <c r="H38" s="77"/>
      <c r="I38" s="77"/>
      <c r="J38" s="84"/>
      <c r="K38" s="84"/>
      <c r="L38" s="84"/>
      <c r="M38" s="64"/>
      <c r="N38" s="41" t="s">
        <v>83</v>
      </c>
      <c r="O38" s="87"/>
    </row>
    <row r="39" customFormat="false" ht="19.2" hidden="false" customHeight="false" outlineLevel="0" collapsed="false">
      <c r="A39" s="64"/>
    </row>
  </sheetData>
  <mergeCells count="13">
    <mergeCell ref="M1:N1"/>
    <mergeCell ref="B2:C2"/>
    <mergeCell ref="K2:L2"/>
    <mergeCell ref="M2:N2"/>
    <mergeCell ref="A3:N3"/>
    <mergeCell ref="B4:N4"/>
    <mergeCell ref="B5:E5"/>
    <mergeCell ref="A6:A7"/>
    <mergeCell ref="B6:B7"/>
    <mergeCell ref="C6:N6"/>
    <mergeCell ref="A36:B36"/>
    <mergeCell ref="A37:C37"/>
    <mergeCell ref="B38:D38"/>
  </mergeCells>
  <hyperlinks>
    <hyperlink ref="N38" location="'Index '!A1" display="Back to index"/>
  </hyperlinks>
  <printOptions headings="true" gridLines="false" gridLinesSet="true" horizontalCentered="false" verticalCentered="false"/>
  <pageMargins left="0.7" right="0.7" top="0.75" bottom="0.75" header="0.511811023622047" footer="0.511811023622047"/>
  <pageSetup paperSize="9" scale="1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false" showRowColHeaders="true" showZeros="true" rightToLeft="false" tabSelected="false" showOutlineSymbols="true" defaultGridColor="true" view="pageBreakPreview" topLeftCell="C1" colorId="64" zoomScale="91" zoomScaleNormal="100" zoomScalePageLayoutView="91" workbookViewId="0">
      <selection pane="topLeft" activeCell="M1" activeCellId="0" sqref="M1"/>
    </sheetView>
  </sheetViews>
  <sheetFormatPr defaultColWidth="9.1015625" defaultRowHeight="19.2" customHeight="false" zeroHeight="false" outlineLevelRow="0" outlineLevelCol="0"/>
  <cols>
    <col collapsed="false" customWidth="false" hidden="false" outlineLevel="0" max="1" min="1" style="4" width="9.1"/>
    <col collapsed="false" customWidth="true" hidden="false" outlineLevel="0" max="2" min="2" style="50" width="40.66"/>
    <col collapsed="false" customWidth="true" hidden="false" outlineLevel="0" max="11" min="3" style="4" width="18.66"/>
    <col collapsed="false" customWidth="true" hidden="false" outlineLevel="0" max="12" min="12" style="4" width="18.33"/>
    <col collapsed="false" customWidth="true" hidden="false" outlineLevel="0" max="13" min="13" style="4" width="18.66"/>
    <col collapsed="false" customWidth="true" hidden="false" outlineLevel="0" max="14" min="14" style="4" width="18.33"/>
    <col collapsed="false" customWidth="false" hidden="false" outlineLevel="0" max="15" min="15" style="7" width="9.1"/>
    <col collapsed="false" customWidth="true" hidden="false" outlineLevel="0" max="16" min="16" style="7" width="0.33"/>
    <col collapsed="false" customWidth="false" hidden="true" outlineLevel="0" max="18" min="17" style="7" width="9.1"/>
    <col collapsed="false" customWidth="false" hidden="false" outlineLevel="0" max="257" min="19" style="7" width="9.1"/>
  </cols>
  <sheetData>
    <row r="1" customFormat="false" ht="21" hidden="false" customHeight="true" outlineLevel="0" collapsed="false">
      <c r="M1" s="17" t="s">
        <v>17</v>
      </c>
      <c r="N1" s="17"/>
      <c r="O1" s="85"/>
    </row>
    <row r="2" customFormat="false" ht="21" hidden="false" customHeight="true" outlineLevel="0" collapsed="false">
      <c r="B2" s="17"/>
      <c r="C2" s="17"/>
      <c r="D2" s="51"/>
      <c r="E2" s="52"/>
      <c r="F2" s="51"/>
      <c r="G2" s="51"/>
      <c r="H2" s="51"/>
      <c r="I2" s="51"/>
      <c r="J2" s="51"/>
      <c r="K2" s="66"/>
      <c r="L2" s="66"/>
      <c r="M2" s="66"/>
      <c r="N2" s="66"/>
      <c r="O2" s="86"/>
    </row>
    <row r="3" customFormat="false" ht="54.75" hidden="false" customHeight="true" outlineLevel="0" collapsed="false">
      <c r="A3" s="65" t="s">
        <v>9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7"/>
    </row>
    <row r="4" customFormat="false" ht="21" hidden="false" customHeight="true" outlineLevel="0" collapsed="false"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67"/>
    </row>
    <row r="5" customFormat="false" ht="21" hidden="false" customHeight="true" outlineLevel="0" collapsed="false">
      <c r="B5" s="68"/>
      <c r="C5" s="68"/>
      <c r="D5" s="68"/>
      <c r="E5" s="68"/>
      <c r="F5" s="51"/>
      <c r="G5" s="51"/>
      <c r="H5" s="51"/>
      <c r="I5" s="51"/>
      <c r="J5" s="51"/>
      <c r="K5" s="51"/>
      <c r="L5" s="51"/>
      <c r="M5" s="51"/>
      <c r="N5" s="51"/>
      <c r="O5" s="22"/>
    </row>
    <row r="6" customFormat="false" ht="21" hidden="false" customHeight="true" outlineLevel="0" collapsed="false">
      <c r="A6" s="79" t="s">
        <v>19</v>
      </c>
      <c r="B6" s="69" t="s">
        <v>123</v>
      </c>
      <c r="C6" s="80" t="s">
        <v>145</v>
      </c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42"/>
    </row>
    <row r="7" customFormat="false" ht="21" hidden="false" customHeight="true" outlineLevel="0" collapsed="false">
      <c r="A7" s="79"/>
      <c r="B7" s="69"/>
      <c r="C7" s="81" t="n">
        <v>2010</v>
      </c>
      <c r="D7" s="81" t="n">
        <v>2011</v>
      </c>
      <c r="E7" s="81" t="n">
        <v>2012</v>
      </c>
      <c r="F7" s="81" t="n">
        <v>2013</v>
      </c>
      <c r="G7" s="81" t="n">
        <v>2014</v>
      </c>
      <c r="H7" s="81" t="n">
        <v>2015</v>
      </c>
      <c r="I7" s="81" t="n">
        <v>2016</v>
      </c>
      <c r="J7" s="81" t="n">
        <v>2017</v>
      </c>
      <c r="K7" s="81" t="n">
        <v>2018</v>
      </c>
      <c r="L7" s="81" t="n">
        <v>2019</v>
      </c>
      <c r="M7" s="81" t="n">
        <v>2020</v>
      </c>
      <c r="N7" s="81" t="n">
        <v>2021</v>
      </c>
      <c r="O7" s="42"/>
    </row>
    <row r="8" customFormat="false" ht="21" hidden="false" customHeight="true" outlineLevel="0" collapsed="false">
      <c r="A8" s="47" t="n">
        <v>1</v>
      </c>
      <c r="B8" s="69" t="s">
        <v>108</v>
      </c>
      <c r="C8" s="58" t="n">
        <v>3210.21</v>
      </c>
      <c r="D8" s="58" t="n">
        <v>3671.22</v>
      </c>
      <c r="E8" s="58" t="n">
        <v>4324.24</v>
      </c>
      <c r="F8" s="58" t="n">
        <v>3839.87</v>
      </c>
      <c r="G8" s="58" t="n">
        <v>3191.05</v>
      </c>
      <c r="H8" s="58" t="n">
        <v>2981.29</v>
      </c>
      <c r="I8" s="58" t="n">
        <v>2684.1</v>
      </c>
      <c r="J8" s="58" t="n">
        <v>964.85</v>
      </c>
      <c r="K8" s="58" t="n">
        <v>0</v>
      </c>
      <c r="L8" s="58" t="n">
        <v>0</v>
      </c>
      <c r="M8" s="58" t="n">
        <v>0</v>
      </c>
      <c r="N8" s="58" t="n">
        <v>381.32</v>
      </c>
      <c r="O8" s="42"/>
    </row>
    <row r="9" customFormat="false" ht="21" hidden="false" customHeight="true" outlineLevel="0" collapsed="false">
      <c r="A9" s="47" t="n">
        <v>2</v>
      </c>
      <c r="B9" s="69" t="s">
        <v>36</v>
      </c>
      <c r="C9" s="59" t="n">
        <v>590.18</v>
      </c>
      <c r="D9" s="59" t="n">
        <v>622.14</v>
      </c>
      <c r="E9" s="59" t="n">
        <v>622.6</v>
      </c>
      <c r="F9" s="59" t="n">
        <v>638.93</v>
      </c>
      <c r="G9" s="59" t="n">
        <v>582.48</v>
      </c>
      <c r="H9" s="59" t="n">
        <v>565.97</v>
      </c>
      <c r="I9" s="59" t="n">
        <v>442.77</v>
      </c>
      <c r="J9" s="59" t="n">
        <v>175.11</v>
      </c>
      <c r="K9" s="59" t="n">
        <v>0</v>
      </c>
      <c r="L9" s="59" t="n">
        <v>0</v>
      </c>
      <c r="M9" s="59" t="n">
        <v>0</v>
      </c>
      <c r="N9" s="59" t="n">
        <v>0</v>
      </c>
      <c r="O9" s="42"/>
    </row>
    <row r="10" customFormat="false" ht="21" hidden="false" customHeight="true" outlineLevel="0" collapsed="false">
      <c r="A10" s="47" t="n">
        <v>3</v>
      </c>
      <c r="B10" s="69" t="s">
        <v>39</v>
      </c>
      <c r="C10" s="58" t="n">
        <v>76404.51</v>
      </c>
      <c r="D10" s="58" t="n">
        <v>80684.2</v>
      </c>
      <c r="E10" s="58" t="n">
        <v>68436.57</v>
      </c>
      <c r="F10" s="58" t="n">
        <v>81925.69</v>
      </c>
      <c r="G10" s="58" t="n">
        <v>65666.01</v>
      </c>
      <c r="H10" s="58" t="n">
        <v>71848.04</v>
      </c>
      <c r="I10" s="58" t="n">
        <v>92344.97</v>
      </c>
      <c r="J10" s="58" t="n">
        <v>105744.54</v>
      </c>
      <c r="K10" s="58" t="n">
        <v>115730.11</v>
      </c>
      <c r="L10" s="58" t="n">
        <v>77128.11</v>
      </c>
      <c r="M10" s="58" t="n">
        <v>31478</v>
      </c>
      <c r="N10" s="58" t="n">
        <v>50881.67</v>
      </c>
      <c r="O10" s="42"/>
    </row>
    <row r="11" customFormat="false" ht="21" hidden="false" customHeight="true" outlineLevel="0" collapsed="false">
      <c r="A11" s="47" t="n">
        <v>4</v>
      </c>
      <c r="B11" s="69" t="s">
        <v>92</v>
      </c>
      <c r="C11" s="59" t="n">
        <v>1014.24</v>
      </c>
      <c r="D11" s="59" t="n">
        <v>1140.35</v>
      </c>
      <c r="E11" s="59" t="n">
        <v>1061.22</v>
      </c>
      <c r="F11" s="59" t="n">
        <v>909.22</v>
      </c>
      <c r="G11" s="59" t="n">
        <v>923.44</v>
      </c>
      <c r="H11" s="59" t="n">
        <v>846.05</v>
      </c>
      <c r="I11" s="59" t="n">
        <v>785.64</v>
      </c>
      <c r="J11" s="59" t="n">
        <v>19615.14</v>
      </c>
      <c r="K11" s="59" t="n">
        <v>19998.38</v>
      </c>
      <c r="L11" s="59" t="n">
        <v>0</v>
      </c>
      <c r="M11" s="59" t="n">
        <v>0</v>
      </c>
      <c r="N11" s="59" t="n">
        <v>8.19</v>
      </c>
      <c r="O11" s="42"/>
    </row>
    <row r="12" customFormat="false" ht="21" hidden="false" customHeight="true" outlineLevel="0" collapsed="false">
      <c r="A12" s="47" t="n">
        <v>5</v>
      </c>
      <c r="B12" s="69" t="s">
        <v>44</v>
      </c>
      <c r="C12" s="58" t="n">
        <v>2816.56</v>
      </c>
      <c r="D12" s="58" t="n">
        <v>3258.92</v>
      </c>
      <c r="E12" s="58" t="n">
        <v>2613.38</v>
      </c>
      <c r="F12" s="58" t="n">
        <v>2456.5</v>
      </c>
      <c r="G12" s="58" t="n">
        <v>2731.52</v>
      </c>
      <c r="H12" s="58" t="n">
        <v>2898.29</v>
      </c>
      <c r="I12" s="58" t="n">
        <v>2498.01</v>
      </c>
      <c r="J12" s="58" t="n">
        <v>877.72</v>
      </c>
      <c r="K12" s="58" t="n">
        <v>0</v>
      </c>
      <c r="L12" s="58" t="n">
        <v>0</v>
      </c>
      <c r="M12" s="58" t="n">
        <v>0</v>
      </c>
      <c r="N12" s="58" t="n">
        <v>0</v>
      </c>
      <c r="O12" s="42"/>
    </row>
    <row r="13" customFormat="false" ht="21" hidden="false" customHeight="true" outlineLevel="0" collapsed="false">
      <c r="A13" s="47" t="n">
        <v>6</v>
      </c>
      <c r="B13" s="69" t="s">
        <v>93</v>
      </c>
      <c r="C13" s="59" t="n">
        <v>1223.56</v>
      </c>
      <c r="D13" s="59" t="n">
        <v>1276.38</v>
      </c>
      <c r="E13" s="59" t="n">
        <v>1175.06</v>
      </c>
      <c r="F13" s="59" t="n">
        <v>1092.03</v>
      </c>
      <c r="G13" s="59" t="n">
        <v>1143.8</v>
      </c>
      <c r="H13" s="59" t="n">
        <v>1110.28</v>
      </c>
      <c r="I13" s="59" t="n">
        <v>662.62</v>
      </c>
      <c r="J13" s="59" t="n">
        <v>1672.94</v>
      </c>
      <c r="K13" s="59" t="n">
        <v>300.76</v>
      </c>
      <c r="L13" s="59" t="n">
        <v>0</v>
      </c>
      <c r="M13" s="59" t="n">
        <v>0.01</v>
      </c>
      <c r="N13" s="59" t="n">
        <v>0</v>
      </c>
      <c r="O13" s="42"/>
    </row>
    <row r="14" customFormat="false" ht="21" hidden="false" customHeight="true" outlineLevel="0" collapsed="false">
      <c r="A14" s="47" t="n">
        <v>7</v>
      </c>
      <c r="B14" s="69" t="s">
        <v>94</v>
      </c>
      <c r="C14" s="58" t="n">
        <v>4.4</v>
      </c>
      <c r="D14" s="58" t="n">
        <v>7.05</v>
      </c>
      <c r="E14" s="58" t="n">
        <v>2.45</v>
      </c>
      <c r="F14" s="58" t="n">
        <v>2.75</v>
      </c>
      <c r="G14" s="58" t="n">
        <v>3.13</v>
      </c>
      <c r="H14" s="58" t="n">
        <v>1.1</v>
      </c>
      <c r="I14" s="58" t="n">
        <v>2.49</v>
      </c>
      <c r="J14" s="58" t="n">
        <v>91.54</v>
      </c>
      <c r="K14" s="58" t="n">
        <v>54.74</v>
      </c>
      <c r="L14" s="58" t="n">
        <v>6</v>
      </c>
      <c r="M14" s="58" t="n">
        <v>0</v>
      </c>
      <c r="N14" s="58" t="n">
        <v>1.6</v>
      </c>
      <c r="O14" s="42"/>
    </row>
    <row r="15" customFormat="false" ht="21" hidden="false" customHeight="true" outlineLevel="0" collapsed="false">
      <c r="A15" s="47" t="n">
        <v>8</v>
      </c>
      <c r="B15" s="69" t="s">
        <v>47</v>
      </c>
      <c r="C15" s="59" t="n">
        <v>230508.04</v>
      </c>
      <c r="D15" s="59" t="n">
        <v>267722.47</v>
      </c>
      <c r="E15" s="59" t="n">
        <v>227638.23</v>
      </c>
      <c r="F15" s="59" t="n">
        <v>218336.89</v>
      </c>
      <c r="G15" s="59" t="n">
        <v>208938.04</v>
      </c>
      <c r="H15" s="59" t="n">
        <v>246006.58</v>
      </c>
      <c r="I15" s="59" t="n">
        <v>269460.65</v>
      </c>
      <c r="J15" s="59" t="n">
        <v>382111.18</v>
      </c>
      <c r="K15" s="59" t="n">
        <v>353761.52</v>
      </c>
      <c r="L15" s="59" t="n">
        <v>366954.02</v>
      </c>
      <c r="M15" s="59" t="n">
        <v>193399.83</v>
      </c>
      <c r="N15" s="59" t="n">
        <v>216284.12</v>
      </c>
      <c r="O15" s="42"/>
    </row>
    <row r="16" customFormat="false" ht="21" hidden="false" customHeight="true" outlineLevel="0" collapsed="false">
      <c r="A16" s="47" t="n">
        <v>9</v>
      </c>
      <c r="B16" s="69" t="s">
        <v>48</v>
      </c>
      <c r="C16" s="58" t="n">
        <v>3960.28</v>
      </c>
      <c r="D16" s="58" t="n">
        <v>4231.54</v>
      </c>
      <c r="E16" s="58" t="n">
        <v>4872.3</v>
      </c>
      <c r="F16" s="58" t="n">
        <v>4677.99</v>
      </c>
      <c r="G16" s="58" t="n">
        <v>4030.36</v>
      </c>
      <c r="H16" s="27" t="s">
        <v>34</v>
      </c>
      <c r="I16" s="27" t="s">
        <v>34</v>
      </c>
      <c r="J16" s="27" t="s">
        <v>34</v>
      </c>
      <c r="K16" s="27" t="s">
        <v>34</v>
      </c>
      <c r="L16" s="27" t="s">
        <v>34</v>
      </c>
      <c r="M16" s="27" t="s">
        <v>34</v>
      </c>
      <c r="N16" s="27" t="s">
        <v>34</v>
      </c>
      <c r="O16" s="42"/>
    </row>
    <row r="17" customFormat="false" ht="21" hidden="false" customHeight="true" outlineLevel="0" collapsed="false">
      <c r="A17" s="47" t="n">
        <v>10</v>
      </c>
      <c r="B17" s="69" t="s">
        <v>95</v>
      </c>
      <c r="C17" s="59" t="n">
        <v>232843.24</v>
      </c>
      <c r="D17" s="59" t="n">
        <v>263141.62</v>
      </c>
      <c r="E17" s="59" t="n">
        <v>265021.18</v>
      </c>
      <c r="F17" s="59" t="n">
        <v>211704.59</v>
      </c>
      <c r="G17" s="59" t="n">
        <v>161201.68</v>
      </c>
      <c r="H17" s="59" t="n">
        <v>218702.79</v>
      </c>
      <c r="I17" s="59" t="n">
        <v>252302.72</v>
      </c>
      <c r="J17" s="59" t="n">
        <v>242275</v>
      </c>
      <c r="K17" s="59" t="n">
        <v>234028.99</v>
      </c>
      <c r="L17" s="59" t="n">
        <v>219073.56</v>
      </c>
      <c r="M17" s="59" t="n">
        <v>152130.6</v>
      </c>
      <c r="N17" s="59" t="n">
        <v>312048.37</v>
      </c>
      <c r="O17" s="42"/>
    </row>
    <row r="18" customFormat="false" ht="21" hidden="false" customHeight="true" outlineLevel="0" collapsed="false">
      <c r="A18" s="47" t="n">
        <v>11</v>
      </c>
      <c r="B18" s="69" t="s">
        <v>54</v>
      </c>
      <c r="C18" s="58" t="n">
        <v>568.29</v>
      </c>
      <c r="D18" s="58" t="n">
        <v>498.43</v>
      </c>
      <c r="E18" s="58" t="n">
        <v>497.85</v>
      </c>
      <c r="F18" s="58" t="n">
        <v>409.78</v>
      </c>
      <c r="G18" s="58" t="n">
        <v>328.4</v>
      </c>
      <c r="H18" s="58" t="n">
        <v>403.75</v>
      </c>
      <c r="I18" s="58" t="n">
        <v>399.2</v>
      </c>
      <c r="J18" s="58" t="n">
        <v>107.72</v>
      </c>
      <c r="K18" s="58" t="n">
        <v>0</v>
      </c>
      <c r="L18" s="58" t="n">
        <v>0</v>
      </c>
      <c r="M18" s="58" t="n">
        <v>0</v>
      </c>
      <c r="N18" s="58" t="n">
        <v>4.86</v>
      </c>
      <c r="O18" s="42"/>
    </row>
    <row r="19" customFormat="false" ht="21" hidden="false" customHeight="true" outlineLevel="0" collapsed="false">
      <c r="A19" s="47" t="n">
        <v>12</v>
      </c>
      <c r="B19" s="69" t="s">
        <v>96</v>
      </c>
      <c r="C19" s="59" t="n">
        <v>2499.35</v>
      </c>
      <c r="D19" s="59" t="n">
        <v>2198.49</v>
      </c>
      <c r="E19" s="59" t="n">
        <v>2157.99</v>
      </c>
      <c r="F19" s="59" t="n">
        <v>2030.94</v>
      </c>
      <c r="G19" s="59" t="n">
        <v>1941.84</v>
      </c>
      <c r="H19" s="59" t="n">
        <v>1711.08</v>
      </c>
      <c r="I19" s="59" t="n">
        <v>1218.26</v>
      </c>
      <c r="J19" s="59" t="n">
        <v>579.01</v>
      </c>
      <c r="K19" s="59" t="n">
        <v>0.2</v>
      </c>
      <c r="L19" s="59" t="n">
        <v>0</v>
      </c>
      <c r="M19" s="59" t="n">
        <v>0</v>
      </c>
      <c r="N19" s="59" t="n">
        <v>0</v>
      </c>
      <c r="O19" s="42"/>
    </row>
    <row r="20" customFormat="false" ht="21" hidden="false" customHeight="true" outlineLevel="0" collapsed="false">
      <c r="A20" s="47" t="n">
        <v>13</v>
      </c>
      <c r="B20" s="69" t="s">
        <v>57</v>
      </c>
      <c r="C20" s="27" t="s">
        <v>34</v>
      </c>
      <c r="D20" s="58" t="n">
        <v>2.36</v>
      </c>
      <c r="E20" s="58" t="n">
        <v>5.45</v>
      </c>
      <c r="F20" s="58" t="n">
        <v>1.09</v>
      </c>
      <c r="G20" s="58" t="n">
        <v>0.77</v>
      </c>
      <c r="H20" s="58" t="n">
        <v>0.46</v>
      </c>
      <c r="I20" s="58" t="n">
        <v>1.12</v>
      </c>
      <c r="J20" s="58" t="n">
        <v>0.1</v>
      </c>
      <c r="K20" s="58" t="n">
        <v>0.02</v>
      </c>
      <c r="L20" s="58" t="n">
        <v>0.01</v>
      </c>
      <c r="M20" s="58" t="n">
        <v>0.02</v>
      </c>
      <c r="N20" s="58" t="n">
        <v>0</v>
      </c>
      <c r="O20" s="42"/>
    </row>
    <row r="21" customFormat="false" ht="21" hidden="false" customHeight="true" outlineLevel="0" collapsed="false">
      <c r="A21" s="47" t="n">
        <v>14</v>
      </c>
      <c r="B21" s="69" t="s">
        <v>97</v>
      </c>
      <c r="C21" s="59" t="n">
        <v>192.29</v>
      </c>
      <c r="D21" s="59" t="n">
        <v>211.82</v>
      </c>
      <c r="E21" s="59" t="n">
        <v>225.73</v>
      </c>
      <c r="F21" s="59" t="n">
        <v>158.67</v>
      </c>
      <c r="G21" s="59" t="n">
        <v>140.41</v>
      </c>
      <c r="H21" s="59" t="n">
        <v>86.17</v>
      </c>
      <c r="I21" s="59" t="n">
        <v>51.88</v>
      </c>
      <c r="J21" s="59" t="n">
        <v>26.21</v>
      </c>
      <c r="K21" s="59" t="n">
        <v>0</v>
      </c>
      <c r="L21" s="59" t="n">
        <v>0.02</v>
      </c>
      <c r="M21" s="59" t="n">
        <v>0.31</v>
      </c>
      <c r="N21" s="59" t="n">
        <v>0.5</v>
      </c>
      <c r="O21" s="42"/>
    </row>
    <row r="22" customFormat="false" ht="21" hidden="false" customHeight="true" outlineLevel="0" collapsed="false">
      <c r="A22" s="47" t="s">
        <v>88</v>
      </c>
      <c r="B22" s="47"/>
      <c r="C22" s="88" t="n">
        <f aca="false">SUM(C8:C21)</f>
        <v>555835.15</v>
      </c>
      <c r="D22" s="88" t="n">
        <f aca="false">SUM(D8:D21)</f>
        <v>628666.99</v>
      </c>
      <c r="E22" s="88" t="n">
        <f aca="false">SUM(E8:E21)</f>
        <v>578654.25</v>
      </c>
      <c r="F22" s="88" t="n">
        <f aca="false">SUM(F8:F21)</f>
        <v>528184.94</v>
      </c>
      <c r="G22" s="88" t="n">
        <f aca="false">SUM(G8:G21)</f>
        <v>450822.93</v>
      </c>
      <c r="H22" s="88" t="n">
        <f aca="false">SUM(H8:H21)</f>
        <v>547161.85</v>
      </c>
      <c r="I22" s="88" t="n">
        <f aca="false">SUM(I8:I21)</f>
        <v>622854.43</v>
      </c>
      <c r="J22" s="88" t="n">
        <f aca="false">SUM(J8:J21)</f>
        <v>754241.06</v>
      </c>
      <c r="K22" s="88" t="n">
        <f aca="false">SUM(K8:K21)</f>
        <v>723874.72</v>
      </c>
      <c r="L22" s="88" t="n">
        <f aca="false">SUM(L8:L21)</f>
        <v>663161.72</v>
      </c>
      <c r="M22" s="88" t="n">
        <f aca="false">SUM(M8:M21)</f>
        <v>377008.77</v>
      </c>
      <c r="N22" s="88" t="n">
        <f aca="false">SUM(N8:N21)</f>
        <v>579610.63</v>
      </c>
      <c r="O22" s="42"/>
    </row>
    <row r="23" customFormat="false" ht="21" hidden="false" customHeight="true" outlineLevel="0" collapsed="false">
      <c r="A23" s="39" t="s">
        <v>106</v>
      </c>
      <c r="B23" s="39"/>
      <c r="C23" s="39"/>
      <c r="D23" s="83"/>
      <c r="E23" s="64"/>
      <c r="F23" s="64"/>
      <c r="G23" s="64"/>
      <c r="H23" s="64"/>
      <c r="I23" s="75"/>
      <c r="J23" s="75"/>
      <c r="K23" s="75"/>
      <c r="L23" s="75"/>
      <c r="M23" s="75"/>
      <c r="N23" s="75"/>
      <c r="O23" s="42"/>
    </row>
    <row r="24" customFormat="false" ht="21" hidden="false" customHeight="true" outlineLevel="0" collapsed="false">
      <c r="A24" s="39" t="s">
        <v>82</v>
      </c>
      <c r="B24" s="39"/>
      <c r="C24" s="39"/>
      <c r="D24" s="39"/>
      <c r="E24" s="61"/>
      <c r="F24" s="61"/>
      <c r="G24" s="62"/>
      <c r="H24" s="77"/>
      <c r="I24" s="77"/>
      <c r="J24" s="84"/>
      <c r="K24" s="84"/>
      <c r="L24" s="84"/>
      <c r="M24" s="64"/>
      <c r="N24" s="41" t="s">
        <v>83</v>
      </c>
      <c r="O24" s="87"/>
    </row>
    <row r="25" customFormat="false" ht="19.2" hidden="false" customHeight="false" outlineLevel="0" collapsed="false">
      <c r="A25" s="64"/>
    </row>
  </sheetData>
  <mergeCells count="13">
    <mergeCell ref="M1:N1"/>
    <mergeCell ref="B2:C2"/>
    <mergeCell ref="K2:L2"/>
    <mergeCell ref="M2:N2"/>
    <mergeCell ref="A3:N3"/>
    <mergeCell ref="B4:N4"/>
    <mergeCell ref="B5:E5"/>
    <mergeCell ref="A6:A7"/>
    <mergeCell ref="B6:B7"/>
    <mergeCell ref="C6:N6"/>
    <mergeCell ref="A22:B22"/>
    <mergeCell ref="A23:C23"/>
    <mergeCell ref="A24:D24"/>
  </mergeCells>
  <hyperlinks>
    <hyperlink ref="N24" location="'Index '!A1" display="Back to index"/>
  </hyperlinks>
  <printOptions headings="true" gridLines="false" gridLinesSet="true" horizontalCentered="false" verticalCentered="false"/>
  <pageMargins left="0.7" right="0.7" top="0.75" bottom="0.75" header="0.511811023622047" footer="0.511811023622047"/>
  <pageSetup paperSize="9" scale="1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false" showRowColHeaders="true" showZeros="true" rightToLeft="false" tabSelected="false" showOutlineSymbols="true" defaultGridColor="true" view="pageBreakPreview" topLeftCell="B1" colorId="64" zoomScale="81" zoomScaleNormal="100" zoomScalePageLayoutView="81" workbookViewId="0">
      <selection pane="topLeft" activeCell="M1" activeCellId="0" sqref="M1"/>
    </sheetView>
  </sheetViews>
  <sheetFormatPr defaultColWidth="9.1015625" defaultRowHeight="19.2" customHeight="false" zeroHeight="false" outlineLevelRow="0" outlineLevelCol="0"/>
  <cols>
    <col collapsed="false" customWidth="false" hidden="false" outlineLevel="0" max="1" min="1" style="4" width="9.1"/>
    <col collapsed="false" customWidth="true" hidden="false" outlineLevel="0" max="2" min="2" style="50" width="40.66"/>
    <col collapsed="false" customWidth="true" hidden="false" outlineLevel="0" max="11" min="3" style="4" width="18.66"/>
    <col collapsed="false" customWidth="true" hidden="false" outlineLevel="0" max="12" min="12" style="4" width="18.33"/>
    <col collapsed="false" customWidth="true" hidden="false" outlineLevel="0" max="13" min="13" style="4" width="18.66"/>
    <col collapsed="false" customWidth="true" hidden="false" outlineLevel="0" max="14" min="14" style="4" width="18.33"/>
    <col collapsed="false" customWidth="false" hidden="false" outlineLevel="0" max="15" min="15" style="7" width="9.1"/>
    <col collapsed="false" customWidth="true" hidden="false" outlineLevel="0" max="16" min="16" style="7" width="0.33"/>
    <col collapsed="false" customWidth="false" hidden="true" outlineLevel="0" max="18" min="17" style="7" width="9.1"/>
    <col collapsed="false" customWidth="false" hidden="false" outlineLevel="0" max="257" min="19" style="7" width="9.1"/>
  </cols>
  <sheetData>
    <row r="1" customFormat="false" ht="21" hidden="false" customHeight="true" outlineLevel="0" collapsed="false">
      <c r="M1" s="17" t="s">
        <v>17</v>
      </c>
      <c r="N1" s="17"/>
      <c r="O1" s="85"/>
    </row>
    <row r="2" customFormat="false" ht="21" hidden="false" customHeight="true" outlineLevel="0" collapsed="false">
      <c r="B2" s="17"/>
      <c r="C2" s="17"/>
      <c r="D2" s="51"/>
      <c r="E2" s="52"/>
      <c r="F2" s="51"/>
      <c r="G2" s="51"/>
      <c r="H2" s="51"/>
      <c r="I2" s="51"/>
      <c r="J2" s="51"/>
      <c r="K2" s="66"/>
      <c r="L2" s="66"/>
      <c r="M2" s="66"/>
      <c r="N2" s="66"/>
      <c r="O2" s="86"/>
    </row>
    <row r="3" customFormat="false" ht="54.75" hidden="false" customHeight="true" outlineLevel="0" collapsed="false">
      <c r="A3" s="65" t="s">
        <v>10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7"/>
    </row>
    <row r="4" customFormat="false" ht="21" hidden="false" customHeight="true" outlineLevel="0" collapsed="false"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67"/>
    </row>
    <row r="5" customFormat="false" ht="21" hidden="false" customHeight="true" outlineLevel="0" collapsed="false">
      <c r="B5" s="68"/>
      <c r="C5" s="68"/>
      <c r="D5" s="68"/>
      <c r="E5" s="68"/>
      <c r="F5" s="51"/>
      <c r="G5" s="51"/>
      <c r="H5" s="51"/>
      <c r="I5" s="51"/>
      <c r="J5" s="51"/>
      <c r="K5" s="51"/>
      <c r="L5" s="51"/>
      <c r="M5" s="51"/>
      <c r="N5" s="51"/>
      <c r="O5" s="22"/>
    </row>
    <row r="6" customFormat="false" ht="21" hidden="false" customHeight="true" outlineLevel="0" collapsed="false">
      <c r="A6" s="79" t="s">
        <v>19</v>
      </c>
      <c r="B6" s="69" t="s">
        <v>123</v>
      </c>
      <c r="C6" s="80" t="s">
        <v>145</v>
      </c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42"/>
    </row>
    <row r="7" customFormat="false" ht="21" hidden="false" customHeight="true" outlineLevel="0" collapsed="false">
      <c r="A7" s="79"/>
      <c r="B7" s="69"/>
      <c r="C7" s="81" t="n">
        <v>2010</v>
      </c>
      <c r="D7" s="81" t="n">
        <v>2011</v>
      </c>
      <c r="E7" s="81" t="n">
        <v>2012</v>
      </c>
      <c r="F7" s="81" t="n">
        <v>2013</v>
      </c>
      <c r="G7" s="81" t="n">
        <v>2014</v>
      </c>
      <c r="H7" s="81" t="n">
        <v>2015</v>
      </c>
      <c r="I7" s="81" t="n">
        <v>2016</v>
      </c>
      <c r="J7" s="81" t="n">
        <v>2017</v>
      </c>
      <c r="K7" s="81" t="n">
        <v>2018</v>
      </c>
      <c r="L7" s="81" t="n">
        <v>2019</v>
      </c>
      <c r="M7" s="81" t="n">
        <v>2020</v>
      </c>
      <c r="N7" s="81" t="n">
        <v>2021</v>
      </c>
      <c r="O7" s="42"/>
    </row>
    <row r="8" customFormat="false" ht="21" hidden="false" customHeight="true" outlineLevel="0" collapsed="false">
      <c r="A8" s="47" t="n">
        <v>1</v>
      </c>
      <c r="B8" s="47" t="s">
        <v>124</v>
      </c>
      <c r="C8" s="27" t="n">
        <v>257591</v>
      </c>
      <c r="D8" s="27" t="n">
        <v>274260</v>
      </c>
      <c r="E8" s="27" t="n">
        <v>293773</v>
      </c>
      <c r="F8" s="27" t="n">
        <v>296525</v>
      </c>
      <c r="G8" s="27" t="n">
        <v>310085</v>
      </c>
      <c r="H8" s="27" t="n">
        <v>336193</v>
      </c>
      <c r="I8" s="27" t="n">
        <v>343703</v>
      </c>
      <c r="J8" s="27" t="n">
        <v>342309</v>
      </c>
      <c r="K8" s="27" t="n">
        <v>352526</v>
      </c>
      <c r="L8" s="27" t="n">
        <v>351298</v>
      </c>
      <c r="M8" s="27" t="n">
        <v>157056</v>
      </c>
      <c r="N8" s="27" t="n">
        <v>247926</v>
      </c>
      <c r="O8" s="42"/>
    </row>
    <row r="9" customFormat="false" ht="21" hidden="false" customHeight="true" outlineLevel="0" collapsed="false">
      <c r="A9" s="47" t="n">
        <v>2</v>
      </c>
      <c r="B9" s="47" t="s">
        <v>125</v>
      </c>
      <c r="C9" s="28" t="n">
        <v>30876</v>
      </c>
      <c r="D9" s="28" t="n">
        <v>33769</v>
      </c>
      <c r="E9" s="28" t="n">
        <v>37941</v>
      </c>
      <c r="F9" s="28" t="n">
        <v>41690</v>
      </c>
      <c r="G9" s="28" t="n">
        <v>61352</v>
      </c>
      <c r="H9" s="28" t="n">
        <v>77701</v>
      </c>
      <c r="I9" s="28" t="n">
        <v>95379</v>
      </c>
      <c r="J9" s="28" t="n">
        <v>99380</v>
      </c>
      <c r="K9" s="28" t="n">
        <v>98902</v>
      </c>
      <c r="L9" s="28" t="n">
        <v>99497</v>
      </c>
      <c r="M9" s="28" t="n">
        <v>52794</v>
      </c>
      <c r="N9" s="28" t="n">
        <v>79863</v>
      </c>
      <c r="O9" s="42"/>
    </row>
    <row r="10" customFormat="false" ht="21" hidden="false" customHeight="true" outlineLevel="0" collapsed="false">
      <c r="A10" s="47" t="n">
        <v>3</v>
      </c>
      <c r="B10" s="47" t="s">
        <v>126</v>
      </c>
      <c r="C10" s="27" t="n">
        <v>38</v>
      </c>
      <c r="D10" s="27" t="n">
        <v>254</v>
      </c>
      <c r="E10" s="27" t="n">
        <v>1171</v>
      </c>
      <c r="F10" s="27" t="n">
        <v>1195</v>
      </c>
      <c r="G10" s="27" t="n">
        <v>2453</v>
      </c>
      <c r="H10" s="27" t="n">
        <v>3691</v>
      </c>
      <c r="I10" s="27" t="n">
        <v>6836</v>
      </c>
      <c r="J10" s="27" t="n">
        <v>26188</v>
      </c>
      <c r="K10" s="27" t="n">
        <v>26405</v>
      </c>
      <c r="L10" s="27" t="n">
        <v>9833</v>
      </c>
      <c r="M10" s="27" t="n">
        <v>810</v>
      </c>
      <c r="N10" s="27" t="n">
        <v>22</v>
      </c>
      <c r="O10" s="42"/>
    </row>
    <row r="11" customFormat="false" ht="21" hidden="false" customHeight="true" outlineLevel="0" collapsed="false">
      <c r="A11" s="47" t="n">
        <v>4</v>
      </c>
      <c r="B11" s="47" t="s">
        <v>127</v>
      </c>
      <c r="C11" s="28" t="s">
        <v>34</v>
      </c>
      <c r="D11" s="28" t="s">
        <v>34</v>
      </c>
      <c r="E11" s="28" t="s">
        <v>34</v>
      </c>
      <c r="F11" s="28" t="s">
        <v>34</v>
      </c>
      <c r="G11" s="28" t="s">
        <v>34</v>
      </c>
      <c r="H11" s="28" t="s">
        <v>34</v>
      </c>
      <c r="I11" s="28" t="n">
        <v>671</v>
      </c>
      <c r="J11" s="28" t="n">
        <v>13478</v>
      </c>
      <c r="K11" s="28" t="n">
        <v>15975</v>
      </c>
      <c r="L11" s="28" t="n">
        <v>17965</v>
      </c>
      <c r="M11" s="28" t="n">
        <v>3016</v>
      </c>
      <c r="N11" s="28" t="n">
        <v>6</v>
      </c>
      <c r="O11" s="42"/>
    </row>
    <row r="12" customFormat="false" ht="21" hidden="false" customHeight="true" outlineLevel="0" collapsed="false">
      <c r="A12" s="47" t="n">
        <v>5</v>
      </c>
      <c r="B12" s="47" t="s">
        <v>128</v>
      </c>
      <c r="C12" s="27" t="s">
        <v>34</v>
      </c>
      <c r="D12" s="27" t="s">
        <v>34</v>
      </c>
      <c r="E12" s="27" t="s">
        <v>34</v>
      </c>
      <c r="F12" s="27" t="s">
        <v>34</v>
      </c>
      <c r="G12" s="27" t="n">
        <v>1</v>
      </c>
      <c r="H12" s="27" t="s">
        <v>34</v>
      </c>
      <c r="I12" s="27" t="s">
        <v>34</v>
      </c>
      <c r="J12" s="27" t="n">
        <v>2546</v>
      </c>
      <c r="K12" s="27" t="n">
        <v>31450</v>
      </c>
      <c r="L12" s="27" t="n">
        <v>56840</v>
      </c>
      <c r="M12" s="27" t="n">
        <v>39883</v>
      </c>
      <c r="N12" s="27" t="n">
        <v>54157</v>
      </c>
      <c r="O12" s="42"/>
    </row>
    <row r="13" customFormat="false" ht="21" hidden="false" customHeight="true" outlineLevel="0" collapsed="false">
      <c r="A13" s="47" t="n">
        <v>6</v>
      </c>
      <c r="B13" s="47" t="s">
        <v>148</v>
      </c>
      <c r="C13" s="28" t="n">
        <v>111164</v>
      </c>
      <c r="D13" s="28" t="n">
        <v>122424</v>
      </c>
      <c r="E13" s="28" t="n">
        <v>141048</v>
      </c>
      <c r="F13" s="28" t="n">
        <v>148983</v>
      </c>
      <c r="G13" s="28" t="n">
        <v>158955</v>
      </c>
      <c r="H13" s="28" t="n">
        <v>175902</v>
      </c>
      <c r="I13" s="28" t="n">
        <v>265170</v>
      </c>
      <c r="J13" s="28" t="n">
        <v>254546</v>
      </c>
      <c r="K13" s="28" t="n">
        <v>246137</v>
      </c>
      <c r="L13" s="28" t="n">
        <v>235647</v>
      </c>
      <c r="M13" s="28" t="n">
        <v>93293</v>
      </c>
      <c r="N13" s="28" t="n">
        <v>115018</v>
      </c>
      <c r="O13" s="42"/>
    </row>
    <row r="14" customFormat="false" ht="21" hidden="false" customHeight="true" outlineLevel="0" collapsed="false">
      <c r="A14" s="47" t="s">
        <v>88</v>
      </c>
      <c r="B14" s="47"/>
      <c r="C14" s="89" t="n">
        <f aca="false">SUM(C8:C13)</f>
        <v>399669</v>
      </c>
      <c r="D14" s="89" t="n">
        <f aca="false">SUM(D8:D13)</f>
        <v>430707</v>
      </c>
      <c r="E14" s="89" t="n">
        <f aca="false">SUM(E8:E13)</f>
        <v>473933</v>
      </c>
      <c r="F14" s="89" t="n">
        <f aca="false">SUM(F8:F13)</f>
        <v>488393</v>
      </c>
      <c r="G14" s="89" t="n">
        <f aca="false">SUM(G8:G13)</f>
        <v>532846</v>
      </c>
      <c r="H14" s="90" t="n">
        <f aca="false">SUM(H8:H13)</f>
        <v>593487</v>
      </c>
      <c r="I14" s="89" t="n">
        <f aca="false">SUM(I8:I13)</f>
        <v>711759</v>
      </c>
      <c r="J14" s="89" t="n">
        <f aca="false">SUM(J8:J13)</f>
        <v>738447</v>
      </c>
      <c r="K14" s="89" t="n">
        <f aca="false">SUM(K8:K13)</f>
        <v>771395</v>
      </c>
      <c r="L14" s="89" t="n">
        <f aca="false">SUM(L8:L13)</f>
        <v>771080</v>
      </c>
      <c r="M14" s="89" t="n">
        <f aca="false">SUM(M8:M13)</f>
        <v>346852</v>
      </c>
      <c r="N14" s="89" t="n">
        <f aca="false">SUM(N8:N13)</f>
        <v>496992</v>
      </c>
      <c r="O14" s="42"/>
    </row>
    <row r="15" customFormat="false" ht="21" hidden="false" customHeight="true" outlineLevel="0" collapsed="false">
      <c r="A15" s="39" t="s">
        <v>106</v>
      </c>
      <c r="B15" s="39"/>
      <c r="C15" s="39"/>
      <c r="D15" s="83"/>
      <c r="E15" s="64"/>
      <c r="F15" s="64"/>
      <c r="G15" s="64"/>
      <c r="H15" s="64"/>
      <c r="I15" s="75"/>
      <c r="J15" s="75"/>
      <c r="K15" s="75"/>
      <c r="L15" s="75"/>
      <c r="M15" s="75"/>
      <c r="N15" s="75"/>
      <c r="O15" s="42"/>
    </row>
    <row r="16" customFormat="false" ht="21" hidden="false" customHeight="true" outlineLevel="0" collapsed="false">
      <c r="A16" s="64"/>
      <c r="B16" s="76"/>
      <c r="C16" s="76"/>
      <c r="D16" s="76"/>
      <c r="E16" s="61"/>
      <c r="F16" s="61"/>
      <c r="G16" s="62"/>
      <c r="H16" s="77"/>
      <c r="I16" s="77"/>
      <c r="J16" s="84"/>
      <c r="K16" s="84"/>
      <c r="L16" s="84"/>
      <c r="M16" s="64"/>
      <c r="N16" s="41" t="s">
        <v>83</v>
      </c>
      <c r="O16" s="87"/>
    </row>
    <row r="17" customFormat="false" ht="19.2" hidden="false" customHeight="false" outlineLevel="0" collapsed="false">
      <c r="A17" s="64"/>
    </row>
  </sheetData>
  <mergeCells count="13">
    <mergeCell ref="M1:N1"/>
    <mergeCell ref="B2:C2"/>
    <mergeCell ref="K2:L2"/>
    <mergeCell ref="M2:N2"/>
    <mergeCell ref="A3:N3"/>
    <mergeCell ref="B4:N4"/>
    <mergeCell ref="B5:E5"/>
    <mergeCell ref="A6:A7"/>
    <mergeCell ref="B6:B7"/>
    <mergeCell ref="C6:N6"/>
    <mergeCell ref="A14:B14"/>
    <mergeCell ref="A15:C15"/>
    <mergeCell ref="B16:D16"/>
  </mergeCells>
  <hyperlinks>
    <hyperlink ref="N16" location="'Index '!A1" display="Back to index"/>
  </hyperlinks>
  <printOptions headings="true" gridLines="false" gridLinesSet="true" horizontalCentered="false" verticalCentered="false"/>
  <pageMargins left="0.7" right="0.7" top="0.75" bottom="0.75" header="0.511811023622047" footer="0.511811023622047"/>
  <pageSetup paperSize="9" scale="1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1"/>
  <sheetViews>
    <sheetView showFormulas="false" showGridLines="false" showRowColHeaders="true" showZeros="true" rightToLeft="false" tabSelected="false" showOutlineSymbols="true" defaultGridColor="true" view="pageBreakPreview" topLeftCell="A1" colorId="64" zoomScale="122" zoomScaleNormal="100" zoomScalePageLayoutView="122" workbookViewId="0">
      <selection pane="topLeft" activeCell="C1" activeCellId="0" sqref="C1"/>
    </sheetView>
  </sheetViews>
  <sheetFormatPr defaultColWidth="9.1015625" defaultRowHeight="13.2" customHeight="false" zeroHeight="false" outlineLevelRow="0" outlineLevelCol="0"/>
  <cols>
    <col collapsed="false" customWidth="false" hidden="false" outlineLevel="0" max="1" min="1" style="7" width="9.1"/>
    <col collapsed="false" customWidth="true" hidden="false" outlineLevel="0" max="2" min="2" style="16" width="20.66"/>
    <col collapsed="false" customWidth="true" hidden="false" outlineLevel="0" max="3" min="3" style="7" width="32.66"/>
    <col collapsed="false" customWidth="true" hidden="false" outlineLevel="0" max="4" min="4" style="42" width="10.87"/>
    <col collapsed="false" customWidth="false" hidden="false" outlineLevel="0" max="5" min="5" style="42" width="9.1"/>
    <col collapsed="false" customWidth="true" hidden="false" outlineLevel="0" max="6" min="6" style="42" width="11.66"/>
    <col collapsed="false" customWidth="true" hidden="false" outlineLevel="0" max="7" min="7" style="42" width="14.1"/>
    <col collapsed="false" customWidth="true" hidden="false" outlineLevel="0" max="8" min="8" style="42" width="11.43"/>
    <col collapsed="false" customWidth="false" hidden="false" outlineLevel="0" max="9" min="9" style="42" width="9.1"/>
    <col collapsed="false" customWidth="true" hidden="false" outlineLevel="0" max="10" min="10" style="7" width="0.33"/>
    <col collapsed="false" customWidth="false" hidden="true" outlineLevel="0" max="12" min="11" style="7" width="9.1"/>
    <col collapsed="false" customWidth="false" hidden="false" outlineLevel="0" max="257" min="13" style="7" width="9.1"/>
  </cols>
  <sheetData>
    <row r="1" customFormat="false" ht="21" hidden="false" customHeight="true" outlineLevel="0" collapsed="false">
      <c r="C1" s="91" t="s">
        <v>17</v>
      </c>
    </row>
    <row r="2" customFormat="false" ht="21" hidden="false" customHeight="true" outlineLevel="0" collapsed="false"/>
    <row r="3" customFormat="false" ht="21" hidden="false" customHeight="true" outlineLevel="0" collapsed="false">
      <c r="A3" s="18"/>
      <c r="B3" s="18"/>
      <c r="C3" s="18"/>
    </row>
    <row r="4" customFormat="false" ht="54.75" hidden="false" customHeight="true" outlineLevel="0" collapsed="false">
      <c r="A4" s="20" t="s">
        <v>11</v>
      </c>
      <c r="B4" s="20"/>
      <c r="C4" s="20"/>
    </row>
    <row r="5" customFormat="false" ht="21" hidden="false" customHeight="true" outlineLevel="0" collapsed="false">
      <c r="B5" s="21"/>
      <c r="C5" s="21"/>
    </row>
    <row r="6" customFormat="false" ht="21" hidden="false" customHeight="true" outlineLevel="0" collapsed="false">
      <c r="A6" s="79" t="s">
        <v>19</v>
      </c>
      <c r="B6" s="45" t="s">
        <v>149</v>
      </c>
      <c r="C6" s="45" t="s">
        <v>150</v>
      </c>
    </row>
    <row r="7" customFormat="false" ht="21" hidden="false" customHeight="true" outlineLevel="0" collapsed="false">
      <c r="A7" s="79" t="n">
        <v>1</v>
      </c>
      <c r="B7" s="45"/>
      <c r="C7" s="45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  <c r="EY7" s="42"/>
      <c r="EZ7" s="42"/>
      <c r="FA7" s="42"/>
      <c r="FB7" s="42"/>
      <c r="FC7" s="42"/>
      <c r="FD7" s="42"/>
      <c r="FE7" s="42"/>
      <c r="FF7" s="42"/>
      <c r="FG7" s="42"/>
      <c r="FH7" s="42"/>
      <c r="FI7" s="42"/>
      <c r="FJ7" s="42"/>
      <c r="FK7" s="42"/>
      <c r="FL7" s="42"/>
      <c r="FM7" s="42"/>
      <c r="FN7" s="42"/>
      <c r="FO7" s="42"/>
      <c r="FP7" s="42"/>
      <c r="FQ7" s="42"/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</row>
    <row r="8" customFormat="false" ht="21" hidden="false" customHeight="true" outlineLevel="0" collapsed="false">
      <c r="A8" s="47" t="n">
        <v>1</v>
      </c>
      <c r="B8" s="69" t="s">
        <v>151</v>
      </c>
      <c r="C8" s="58" t="n">
        <v>1622009</v>
      </c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  <c r="EY8" s="42"/>
      <c r="EZ8" s="42"/>
      <c r="FA8" s="42"/>
      <c r="FB8" s="42"/>
      <c r="FC8" s="42"/>
      <c r="FD8" s="42"/>
      <c r="FE8" s="42"/>
      <c r="FF8" s="42"/>
      <c r="FG8" s="42"/>
      <c r="FH8" s="42"/>
      <c r="FI8" s="42"/>
      <c r="FJ8" s="42"/>
      <c r="FK8" s="42"/>
      <c r="FL8" s="42"/>
      <c r="FM8" s="42"/>
      <c r="FN8" s="42"/>
      <c r="FO8" s="42"/>
      <c r="FP8" s="42"/>
      <c r="FQ8" s="42"/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</row>
    <row r="9" customFormat="false" ht="21" hidden="false" customHeight="true" outlineLevel="0" collapsed="false">
      <c r="A9" s="47" t="n">
        <v>1</v>
      </c>
      <c r="B9" s="69" t="s">
        <v>152</v>
      </c>
      <c r="C9" s="59" t="n">
        <v>1046367</v>
      </c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  <c r="EY9" s="42"/>
      <c r="EZ9" s="42"/>
      <c r="FA9" s="42"/>
      <c r="FB9" s="42"/>
      <c r="FC9" s="42"/>
      <c r="FD9" s="42"/>
      <c r="FE9" s="42"/>
      <c r="FF9" s="42"/>
      <c r="FG9" s="42"/>
      <c r="FH9" s="42"/>
      <c r="FI9" s="42"/>
      <c r="FJ9" s="42"/>
      <c r="FK9" s="42"/>
      <c r="FL9" s="42"/>
      <c r="FM9" s="42"/>
      <c r="FN9" s="42"/>
      <c r="FO9" s="42"/>
      <c r="FP9" s="42"/>
      <c r="FQ9" s="42"/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</row>
    <row r="10" customFormat="false" ht="21" hidden="false" customHeight="true" outlineLevel="0" collapsed="false">
      <c r="A10" s="47" t="n">
        <v>1</v>
      </c>
      <c r="B10" s="69" t="s">
        <v>153</v>
      </c>
      <c r="C10" s="58" t="n">
        <v>645344</v>
      </c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2"/>
      <c r="FA10" s="42"/>
      <c r="FB10" s="42"/>
      <c r="FC10" s="42"/>
      <c r="FD10" s="42"/>
      <c r="FE10" s="42"/>
      <c r="FF10" s="42"/>
      <c r="FG10" s="42"/>
      <c r="FH10" s="42"/>
      <c r="FI10" s="42"/>
      <c r="FJ10" s="42"/>
      <c r="FK10" s="42"/>
      <c r="FL10" s="42"/>
      <c r="FM10" s="42"/>
      <c r="FN10" s="42"/>
      <c r="FO10" s="42"/>
      <c r="FP10" s="42"/>
      <c r="FQ10" s="42"/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  <c r="IU10" s="42"/>
      <c r="IV10" s="42"/>
      <c r="IW10" s="42"/>
    </row>
    <row r="11" customFormat="false" ht="21" hidden="false" customHeight="true" outlineLevel="0" collapsed="false">
      <c r="A11" s="47" t="n">
        <v>1</v>
      </c>
      <c r="B11" s="69" t="s">
        <v>154</v>
      </c>
      <c r="C11" s="59" t="n">
        <v>449546</v>
      </c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2"/>
      <c r="FG11" s="42"/>
      <c r="FH11" s="42"/>
      <c r="FI11" s="42"/>
      <c r="FJ11" s="42"/>
      <c r="FK11" s="42"/>
      <c r="FL11" s="42"/>
      <c r="FM11" s="42"/>
      <c r="FN11" s="42"/>
      <c r="FO11" s="42"/>
      <c r="FP11" s="42"/>
      <c r="FQ11" s="42"/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2"/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2"/>
      <c r="IR11" s="42"/>
      <c r="IS11" s="42"/>
      <c r="IT11" s="42"/>
      <c r="IU11" s="42"/>
      <c r="IV11" s="42"/>
      <c r="IW11" s="42"/>
    </row>
    <row r="12" customFormat="false" ht="21" hidden="false" customHeight="true" outlineLevel="0" collapsed="false">
      <c r="A12" s="47" t="n">
        <v>1</v>
      </c>
      <c r="B12" s="69" t="s">
        <v>155</v>
      </c>
      <c r="C12" s="58" t="n">
        <v>443601</v>
      </c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42"/>
      <c r="FH12" s="42"/>
      <c r="FI12" s="42"/>
      <c r="FJ12" s="42"/>
      <c r="FK12" s="42"/>
      <c r="FL12" s="42"/>
      <c r="FM12" s="42"/>
      <c r="FN12" s="42"/>
      <c r="FO12" s="42"/>
      <c r="FP12" s="42"/>
      <c r="FQ12" s="42"/>
      <c r="FR12" s="42"/>
      <c r="FS12" s="42"/>
      <c r="FT12" s="42"/>
      <c r="FU12" s="42"/>
      <c r="FV12" s="42"/>
      <c r="FW12" s="42"/>
      <c r="FX12" s="42"/>
      <c r="FY12" s="42"/>
      <c r="FZ12" s="42"/>
      <c r="GA12" s="42"/>
      <c r="GB12" s="42"/>
      <c r="GC12" s="42"/>
      <c r="GD12" s="42"/>
      <c r="GE12" s="42"/>
      <c r="GF12" s="42"/>
      <c r="GG12" s="42"/>
      <c r="GH12" s="42"/>
      <c r="GI12" s="42"/>
      <c r="GJ12" s="42"/>
      <c r="GK12" s="42"/>
      <c r="GL12" s="42"/>
      <c r="GM12" s="42"/>
      <c r="GN12" s="42"/>
      <c r="GO12" s="42"/>
      <c r="GP12" s="42"/>
      <c r="GQ12" s="42"/>
      <c r="GR12" s="42"/>
      <c r="GS12" s="42"/>
      <c r="GT12" s="42"/>
      <c r="GU12" s="42"/>
      <c r="GV12" s="42"/>
      <c r="GW12" s="42"/>
      <c r="GX12" s="42"/>
      <c r="GY12" s="42"/>
      <c r="GZ12" s="42"/>
      <c r="HA12" s="42"/>
      <c r="HB12" s="42"/>
      <c r="HC12" s="42"/>
      <c r="HD12" s="42"/>
      <c r="HE12" s="42"/>
      <c r="HF12" s="42"/>
      <c r="HG12" s="42"/>
      <c r="HH12" s="42"/>
      <c r="HI12" s="42"/>
      <c r="HJ12" s="42"/>
      <c r="HK12" s="42"/>
      <c r="HL12" s="42"/>
      <c r="HM12" s="42"/>
      <c r="HN12" s="42"/>
      <c r="HO12" s="42"/>
      <c r="HP12" s="42"/>
      <c r="HQ12" s="42"/>
      <c r="HR12" s="42"/>
      <c r="HS12" s="42"/>
      <c r="HT12" s="42"/>
      <c r="HU12" s="42"/>
      <c r="HV12" s="42"/>
      <c r="HW12" s="42"/>
      <c r="HX12" s="42"/>
      <c r="HY12" s="42"/>
      <c r="HZ12" s="42"/>
      <c r="IA12" s="42"/>
      <c r="IB12" s="42"/>
      <c r="IC12" s="42"/>
      <c r="ID12" s="42"/>
      <c r="IE12" s="42"/>
      <c r="IF12" s="42"/>
      <c r="IG12" s="42"/>
      <c r="IH12" s="42"/>
      <c r="II12" s="42"/>
      <c r="IJ12" s="42"/>
      <c r="IK12" s="42"/>
      <c r="IL12" s="42"/>
      <c r="IM12" s="42"/>
      <c r="IN12" s="42"/>
      <c r="IO12" s="42"/>
      <c r="IP12" s="42"/>
      <c r="IQ12" s="42"/>
      <c r="IR12" s="42"/>
      <c r="IS12" s="42"/>
      <c r="IT12" s="42"/>
      <c r="IU12" s="42"/>
      <c r="IV12" s="42"/>
      <c r="IW12" s="42"/>
    </row>
    <row r="13" customFormat="false" ht="21" hidden="false" customHeight="true" outlineLevel="0" collapsed="false">
      <c r="A13" s="47" t="n">
        <v>1</v>
      </c>
      <c r="B13" s="69" t="s">
        <v>156</v>
      </c>
      <c r="C13" s="59" t="n">
        <v>434188</v>
      </c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42"/>
      <c r="FH13" s="42"/>
      <c r="FI13" s="42"/>
      <c r="FJ13" s="42"/>
      <c r="FK13" s="42"/>
      <c r="FL13" s="42"/>
      <c r="FM13" s="42"/>
      <c r="FN13" s="42"/>
      <c r="FO13" s="42"/>
      <c r="FP13" s="42"/>
      <c r="FQ13" s="42"/>
      <c r="FR13" s="42"/>
      <c r="FS13" s="42"/>
      <c r="FT13" s="42"/>
      <c r="FU13" s="42"/>
      <c r="FV13" s="42"/>
      <c r="FW13" s="42"/>
      <c r="FX13" s="42"/>
      <c r="FY13" s="42"/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42"/>
      <c r="GO13" s="42"/>
      <c r="GP13" s="42"/>
      <c r="GQ13" s="42"/>
      <c r="GR13" s="42"/>
      <c r="GS13" s="42"/>
      <c r="GT13" s="42"/>
      <c r="GU13" s="42"/>
      <c r="GV13" s="42"/>
      <c r="GW13" s="42"/>
      <c r="GX13" s="42"/>
      <c r="GY13" s="42"/>
      <c r="GZ13" s="42"/>
      <c r="HA13" s="42"/>
      <c r="HB13" s="42"/>
      <c r="HC13" s="42"/>
      <c r="HD13" s="42"/>
      <c r="HE13" s="42"/>
      <c r="HF13" s="42"/>
      <c r="HG13" s="42"/>
      <c r="HH13" s="42"/>
      <c r="HI13" s="42"/>
      <c r="HJ13" s="42"/>
      <c r="HK13" s="42"/>
      <c r="HL13" s="42"/>
      <c r="HM13" s="42"/>
      <c r="HN13" s="42"/>
      <c r="HO13" s="42"/>
      <c r="HP13" s="42"/>
      <c r="HQ13" s="42"/>
      <c r="HR13" s="42"/>
      <c r="HS13" s="42"/>
      <c r="HT13" s="42"/>
      <c r="HU13" s="42"/>
      <c r="HV13" s="42"/>
      <c r="HW13" s="42"/>
      <c r="HX13" s="42"/>
      <c r="HY13" s="42"/>
      <c r="HZ13" s="42"/>
      <c r="IA13" s="42"/>
      <c r="IB13" s="42"/>
      <c r="IC13" s="42"/>
      <c r="ID13" s="42"/>
      <c r="IE13" s="42"/>
      <c r="IF13" s="42"/>
      <c r="IG13" s="42"/>
      <c r="IH13" s="42"/>
      <c r="II13" s="42"/>
      <c r="IJ13" s="42"/>
      <c r="IK13" s="42"/>
      <c r="IL13" s="42"/>
      <c r="IM13" s="42"/>
      <c r="IN13" s="42"/>
      <c r="IO13" s="42"/>
      <c r="IP13" s="42"/>
      <c r="IQ13" s="42"/>
      <c r="IR13" s="42"/>
      <c r="IS13" s="42"/>
      <c r="IT13" s="42"/>
      <c r="IU13" s="42"/>
      <c r="IV13" s="42"/>
      <c r="IW13" s="42"/>
    </row>
    <row r="14" customFormat="false" ht="21" hidden="false" customHeight="true" outlineLevel="0" collapsed="false">
      <c r="A14" s="47" t="n">
        <v>1</v>
      </c>
      <c r="B14" s="69" t="s">
        <v>157</v>
      </c>
      <c r="C14" s="58" t="n">
        <v>380952</v>
      </c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2"/>
      <c r="FH14" s="42"/>
      <c r="FI14" s="42"/>
      <c r="FJ14" s="42"/>
      <c r="FK14" s="42"/>
      <c r="FL14" s="42"/>
      <c r="FM14" s="42"/>
      <c r="FN14" s="42"/>
      <c r="FO14" s="42"/>
      <c r="FP14" s="42"/>
      <c r="FQ14" s="42"/>
      <c r="FR14" s="42"/>
      <c r="FS14" s="42"/>
      <c r="FT14" s="42"/>
      <c r="FU14" s="42"/>
      <c r="FV14" s="42"/>
      <c r="FW14" s="42"/>
      <c r="FX14" s="42"/>
      <c r="FY14" s="42"/>
      <c r="FZ14" s="42"/>
      <c r="GA14" s="42"/>
      <c r="GB14" s="42"/>
      <c r="GC14" s="42"/>
      <c r="GD14" s="42"/>
      <c r="GE14" s="42"/>
      <c r="GF14" s="42"/>
      <c r="GG14" s="42"/>
      <c r="GH14" s="42"/>
      <c r="GI14" s="42"/>
      <c r="GJ14" s="42"/>
      <c r="GK14" s="42"/>
      <c r="GL14" s="42"/>
      <c r="GM14" s="42"/>
      <c r="GN14" s="42"/>
      <c r="GO14" s="42"/>
      <c r="GP14" s="42"/>
      <c r="GQ14" s="42"/>
      <c r="GR14" s="42"/>
      <c r="GS14" s="42"/>
      <c r="GT14" s="42"/>
      <c r="GU14" s="42"/>
      <c r="GV14" s="42"/>
      <c r="GW14" s="42"/>
      <c r="GX14" s="42"/>
      <c r="GY14" s="42"/>
      <c r="GZ14" s="42"/>
      <c r="HA14" s="42"/>
      <c r="HB14" s="42"/>
      <c r="HC14" s="42"/>
      <c r="HD14" s="42"/>
      <c r="HE14" s="42"/>
      <c r="HF14" s="42"/>
      <c r="HG14" s="42"/>
      <c r="HH14" s="42"/>
      <c r="HI14" s="42"/>
      <c r="HJ14" s="42"/>
      <c r="HK14" s="42"/>
      <c r="HL14" s="42"/>
      <c r="HM14" s="42"/>
      <c r="HN14" s="42"/>
      <c r="HO14" s="42"/>
      <c r="HP14" s="42"/>
      <c r="HQ14" s="42"/>
      <c r="HR14" s="42"/>
      <c r="HS14" s="42"/>
      <c r="HT14" s="42"/>
      <c r="HU14" s="42"/>
      <c r="HV14" s="42"/>
      <c r="HW14" s="42"/>
      <c r="HX14" s="42"/>
      <c r="HY14" s="42"/>
      <c r="HZ14" s="42"/>
      <c r="IA14" s="42"/>
      <c r="IB14" s="42"/>
      <c r="IC14" s="42"/>
      <c r="ID14" s="42"/>
      <c r="IE14" s="42"/>
      <c r="IF14" s="42"/>
      <c r="IG14" s="42"/>
      <c r="IH14" s="42"/>
      <c r="II14" s="42"/>
      <c r="IJ14" s="42"/>
      <c r="IK14" s="42"/>
      <c r="IL14" s="42"/>
      <c r="IM14" s="42"/>
      <c r="IN14" s="42"/>
      <c r="IO14" s="42"/>
      <c r="IP14" s="42"/>
      <c r="IQ14" s="42"/>
      <c r="IR14" s="42"/>
      <c r="IS14" s="42"/>
      <c r="IT14" s="42"/>
      <c r="IU14" s="42"/>
      <c r="IV14" s="42"/>
      <c r="IW14" s="42"/>
    </row>
    <row r="15" customFormat="false" ht="21" hidden="false" customHeight="true" outlineLevel="0" collapsed="false">
      <c r="A15" s="47" t="n">
        <v>1</v>
      </c>
      <c r="B15" s="69" t="s">
        <v>158</v>
      </c>
      <c r="C15" s="59" t="n">
        <v>268139</v>
      </c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2"/>
      <c r="EO15" s="42"/>
      <c r="EP15" s="42"/>
      <c r="EQ15" s="42"/>
      <c r="ER15" s="42"/>
      <c r="ES15" s="42"/>
      <c r="ET15" s="42"/>
      <c r="EU15" s="42"/>
      <c r="EV15" s="42"/>
      <c r="EW15" s="42"/>
      <c r="EX15" s="42"/>
      <c r="EY15" s="42"/>
      <c r="EZ15" s="42"/>
      <c r="FA15" s="42"/>
      <c r="FB15" s="42"/>
      <c r="FC15" s="42"/>
      <c r="FD15" s="42"/>
      <c r="FE15" s="42"/>
      <c r="FF15" s="42"/>
      <c r="FG15" s="42"/>
      <c r="FH15" s="42"/>
      <c r="FI15" s="42"/>
      <c r="FJ15" s="42"/>
      <c r="FK15" s="42"/>
      <c r="FL15" s="42"/>
      <c r="FM15" s="42"/>
      <c r="FN15" s="42"/>
      <c r="FO15" s="42"/>
      <c r="FP15" s="42"/>
      <c r="FQ15" s="42"/>
      <c r="FR15" s="42"/>
      <c r="FS15" s="42"/>
      <c r="FT15" s="42"/>
      <c r="FU15" s="42"/>
      <c r="FV15" s="42"/>
      <c r="FW15" s="42"/>
      <c r="FX15" s="42"/>
      <c r="FY15" s="42"/>
      <c r="FZ15" s="42"/>
      <c r="GA15" s="42"/>
      <c r="GB15" s="42"/>
      <c r="GC15" s="42"/>
      <c r="GD15" s="42"/>
      <c r="GE15" s="42"/>
      <c r="GF15" s="42"/>
      <c r="GG15" s="42"/>
      <c r="GH15" s="42"/>
      <c r="GI15" s="42"/>
      <c r="GJ15" s="42"/>
      <c r="GK15" s="42"/>
      <c r="GL15" s="42"/>
      <c r="GM15" s="42"/>
      <c r="GN15" s="42"/>
      <c r="GO15" s="42"/>
      <c r="GP15" s="42"/>
      <c r="GQ15" s="42"/>
      <c r="GR15" s="42"/>
      <c r="GS15" s="42"/>
      <c r="GT15" s="42"/>
      <c r="GU15" s="42"/>
      <c r="GV15" s="42"/>
      <c r="GW15" s="42"/>
      <c r="GX15" s="42"/>
      <c r="GY15" s="42"/>
      <c r="GZ15" s="42"/>
      <c r="HA15" s="42"/>
      <c r="HB15" s="42"/>
      <c r="HC15" s="42"/>
      <c r="HD15" s="42"/>
      <c r="HE15" s="42"/>
      <c r="HF15" s="42"/>
      <c r="HG15" s="42"/>
      <c r="HH15" s="42"/>
      <c r="HI15" s="42"/>
      <c r="HJ15" s="42"/>
      <c r="HK15" s="42"/>
      <c r="HL15" s="42"/>
      <c r="HM15" s="42"/>
      <c r="HN15" s="42"/>
      <c r="HO15" s="42"/>
      <c r="HP15" s="42"/>
      <c r="HQ15" s="42"/>
      <c r="HR15" s="42"/>
      <c r="HS15" s="42"/>
      <c r="HT15" s="42"/>
      <c r="HU15" s="42"/>
      <c r="HV15" s="42"/>
      <c r="HW15" s="42"/>
      <c r="HX15" s="42"/>
      <c r="HY15" s="42"/>
      <c r="HZ15" s="42"/>
      <c r="IA15" s="42"/>
      <c r="IB15" s="42"/>
      <c r="IC15" s="42"/>
      <c r="ID15" s="42"/>
      <c r="IE15" s="42"/>
      <c r="IF15" s="42"/>
      <c r="IG15" s="42"/>
      <c r="IH15" s="42"/>
      <c r="II15" s="42"/>
      <c r="IJ15" s="42"/>
      <c r="IK15" s="42"/>
      <c r="IL15" s="42"/>
      <c r="IM15" s="42"/>
      <c r="IN15" s="42"/>
      <c r="IO15" s="42"/>
      <c r="IP15" s="42"/>
      <c r="IQ15" s="42"/>
      <c r="IR15" s="42"/>
      <c r="IS15" s="42"/>
      <c r="IT15" s="42"/>
      <c r="IU15" s="42"/>
      <c r="IV15" s="42"/>
      <c r="IW15" s="42"/>
    </row>
    <row r="16" customFormat="false" ht="21" hidden="false" customHeight="true" outlineLevel="0" collapsed="false">
      <c r="A16" s="47" t="n">
        <v>1</v>
      </c>
      <c r="B16" s="69" t="s">
        <v>159</v>
      </c>
      <c r="C16" s="58" t="n">
        <v>238461</v>
      </c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2"/>
      <c r="DX16" s="42"/>
      <c r="DY16" s="42"/>
      <c r="DZ16" s="42"/>
      <c r="EA16" s="42"/>
      <c r="EB16" s="42"/>
      <c r="EC16" s="42"/>
      <c r="ED16" s="42"/>
      <c r="EE16" s="42"/>
      <c r="EF16" s="42"/>
      <c r="EG16" s="42"/>
      <c r="EH16" s="42"/>
      <c r="EI16" s="42"/>
      <c r="EJ16" s="42"/>
      <c r="EK16" s="42"/>
      <c r="EL16" s="42"/>
      <c r="EM16" s="42"/>
      <c r="EN16" s="42"/>
      <c r="EO16" s="42"/>
      <c r="EP16" s="42"/>
      <c r="EQ16" s="42"/>
      <c r="ER16" s="42"/>
      <c r="ES16" s="42"/>
      <c r="ET16" s="42"/>
      <c r="EU16" s="42"/>
      <c r="EV16" s="42"/>
      <c r="EW16" s="42"/>
      <c r="EX16" s="42"/>
      <c r="EY16" s="42"/>
      <c r="EZ16" s="42"/>
      <c r="FA16" s="42"/>
      <c r="FB16" s="42"/>
      <c r="FC16" s="42"/>
      <c r="FD16" s="42"/>
      <c r="FE16" s="42"/>
      <c r="FF16" s="42"/>
      <c r="FG16" s="42"/>
      <c r="FH16" s="42"/>
      <c r="FI16" s="42"/>
      <c r="FJ16" s="42"/>
      <c r="FK16" s="42"/>
      <c r="FL16" s="42"/>
      <c r="FM16" s="42"/>
      <c r="FN16" s="42"/>
      <c r="FO16" s="42"/>
      <c r="FP16" s="42"/>
      <c r="FQ16" s="42"/>
      <c r="FR16" s="42"/>
      <c r="FS16" s="42"/>
      <c r="FT16" s="42"/>
      <c r="FU16" s="42"/>
      <c r="FV16" s="42"/>
      <c r="FW16" s="42"/>
      <c r="FX16" s="42"/>
      <c r="FY16" s="42"/>
      <c r="FZ16" s="42"/>
      <c r="GA16" s="42"/>
      <c r="GB16" s="42"/>
      <c r="GC16" s="42"/>
      <c r="GD16" s="42"/>
      <c r="GE16" s="42"/>
      <c r="GF16" s="42"/>
      <c r="GG16" s="42"/>
      <c r="GH16" s="42"/>
      <c r="GI16" s="42"/>
      <c r="GJ16" s="42"/>
      <c r="GK16" s="42"/>
      <c r="GL16" s="42"/>
      <c r="GM16" s="42"/>
      <c r="GN16" s="42"/>
      <c r="GO16" s="42"/>
      <c r="GP16" s="42"/>
      <c r="GQ16" s="42"/>
      <c r="GR16" s="42"/>
      <c r="GS16" s="42"/>
      <c r="GT16" s="42"/>
      <c r="GU16" s="42"/>
      <c r="GV16" s="42"/>
      <c r="GW16" s="42"/>
      <c r="GX16" s="42"/>
      <c r="GY16" s="42"/>
      <c r="GZ16" s="42"/>
      <c r="HA16" s="42"/>
      <c r="HB16" s="42"/>
      <c r="HC16" s="42"/>
      <c r="HD16" s="42"/>
      <c r="HE16" s="42"/>
      <c r="HF16" s="42"/>
      <c r="HG16" s="42"/>
      <c r="HH16" s="42"/>
      <c r="HI16" s="42"/>
      <c r="HJ16" s="42"/>
      <c r="HK16" s="42"/>
      <c r="HL16" s="42"/>
      <c r="HM16" s="42"/>
      <c r="HN16" s="42"/>
      <c r="HO16" s="42"/>
      <c r="HP16" s="42"/>
      <c r="HQ16" s="42"/>
      <c r="HR16" s="42"/>
      <c r="HS16" s="42"/>
      <c r="HT16" s="42"/>
      <c r="HU16" s="42"/>
      <c r="HV16" s="42"/>
      <c r="HW16" s="42"/>
      <c r="HX16" s="42"/>
      <c r="HY16" s="42"/>
      <c r="HZ16" s="42"/>
      <c r="IA16" s="42"/>
      <c r="IB16" s="42"/>
      <c r="IC16" s="42"/>
      <c r="ID16" s="42"/>
      <c r="IE16" s="42"/>
      <c r="IF16" s="42"/>
      <c r="IG16" s="42"/>
      <c r="IH16" s="42"/>
      <c r="II16" s="42"/>
      <c r="IJ16" s="42"/>
      <c r="IK16" s="42"/>
      <c r="IL16" s="42"/>
      <c r="IM16" s="42"/>
      <c r="IN16" s="42"/>
      <c r="IO16" s="42"/>
      <c r="IP16" s="42"/>
      <c r="IQ16" s="42"/>
      <c r="IR16" s="42"/>
      <c r="IS16" s="42"/>
      <c r="IT16" s="42"/>
      <c r="IU16" s="42"/>
      <c r="IV16" s="42"/>
      <c r="IW16" s="42"/>
    </row>
    <row r="17" customFormat="false" ht="21" hidden="false" customHeight="true" outlineLevel="0" collapsed="false">
      <c r="A17" s="47" t="n">
        <v>1</v>
      </c>
      <c r="B17" s="69" t="s">
        <v>160</v>
      </c>
      <c r="C17" s="59" t="n">
        <v>172052</v>
      </c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  <c r="EO17" s="42"/>
      <c r="EP17" s="42"/>
      <c r="EQ17" s="42"/>
      <c r="ER17" s="42"/>
      <c r="ES17" s="42"/>
      <c r="ET17" s="42"/>
      <c r="EU17" s="42"/>
      <c r="EV17" s="42"/>
      <c r="EW17" s="42"/>
      <c r="EX17" s="42"/>
      <c r="EY17" s="42"/>
      <c r="EZ17" s="42"/>
      <c r="FA17" s="42"/>
      <c r="FB17" s="42"/>
      <c r="FC17" s="42"/>
      <c r="FD17" s="42"/>
      <c r="FE17" s="42"/>
      <c r="FF17" s="42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/>
      <c r="GL17" s="42"/>
      <c r="GM17" s="42"/>
      <c r="GN17" s="42"/>
      <c r="GO17" s="42"/>
      <c r="GP17" s="42"/>
      <c r="GQ17" s="42"/>
      <c r="GR17" s="42"/>
      <c r="GS17" s="42"/>
      <c r="GT17" s="42"/>
      <c r="GU17" s="42"/>
      <c r="GV17" s="42"/>
      <c r="GW17" s="42"/>
      <c r="GX17" s="42"/>
      <c r="GY17" s="42"/>
      <c r="GZ17" s="42"/>
      <c r="HA17" s="42"/>
      <c r="HB17" s="42"/>
      <c r="HC17" s="42"/>
      <c r="HD17" s="42"/>
      <c r="HE17" s="42"/>
      <c r="HF17" s="42"/>
      <c r="HG17" s="42"/>
      <c r="HH17" s="42"/>
      <c r="HI17" s="42"/>
      <c r="HJ17" s="42"/>
      <c r="HK17" s="42"/>
      <c r="HL17" s="42"/>
      <c r="HM17" s="42"/>
      <c r="HN17" s="42"/>
      <c r="HO17" s="42"/>
      <c r="HP17" s="42"/>
      <c r="HQ17" s="42"/>
      <c r="HR17" s="42"/>
      <c r="HS17" s="42"/>
      <c r="HT17" s="42"/>
      <c r="HU17" s="42"/>
      <c r="HV17" s="42"/>
      <c r="HW17" s="42"/>
      <c r="HX17" s="42"/>
      <c r="HY17" s="42"/>
      <c r="HZ17" s="42"/>
      <c r="IA17" s="42"/>
      <c r="IB17" s="42"/>
      <c r="IC17" s="42"/>
      <c r="ID17" s="42"/>
      <c r="IE17" s="42"/>
      <c r="IF17" s="42"/>
      <c r="IG17" s="42"/>
      <c r="IH17" s="42"/>
      <c r="II17" s="42"/>
      <c r="IJ17" s="42"/>
      <c r="IK17" s="42"/>
      <c r="IL17" s="42"/>
      <c r="IM17" s="42"/>
      <c r="IN17" s="42"/>
      <c r="IO17" s="42"/>
      <c r="IP17" s="42"/>
      <c r="IQ17" s="42"/>
      <c r="IR17" s="42"/>
      <c r="IS17" s="42"/>
      <c r="IT17" s="42"/>
      <c r="IU17" s="42"/>
      <c r="IV17" s="42"/>
      <c r="IW17" s="42"/>
    </row>
    <row r="18" customFormat="false" ht="21" hidden="false" customHeight="true" outlineLevel="0" collapsed="false">
      <c r="A18" s="72" t="s">
        <v>100</v>
      </c>
      <c r="B18" s="72"/>
      <c r="C18" s="92" t="n">
        <f aca="false">SUM(C8:C17)</f>
        <v>5700659</v>
      </c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 s="42"/>
      <c r="DT18" s="42"/>
      <c r="DU18" s="42"/>
      <c r="DV18" s="42"/>
      <c r="DW18" s="42"/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/>
      <c r="EN18" s="42"/>
      <c r="EO18" s="42"/>
      <c r="EP18" s="42"/>
      <c r="EQ18" s="42"/>
      <c r="ER18" s="42"/>
      <c r="ES18" s="42"/>
      <c r="ET18" s="42"/>
      <c r="EU18" s="42"/>
      <c r="EV18" s="42"/>
      <c r="EW18" s="42"/>
      <c r="EX18" s="42"/>
      <c r="EY18" s="42"/>
      <c r="EZ18" s="42"/>
      <c r="FA18" s="42"/>
      <c r="FB18" s="42"/>
      <c r="FC18" s="42"/>
      <c r="FD18" s="42"/>
      <c r="FE18" s="42"/>
      <c r="FF18" s="42"/>
      <c r="FG18" s="42"/>
      <c r="FH18" s="42"/>
      <c r="FI18" s="42"/>
      <c r="FJ18" s="42"/>
      <c r="FK18" s="42"/>
      <c r="FL18" s="42"/>
      <c r="FM18" s="42"/>
      <c r="FN18" s="42"/>
      <c r="FO18" s="42"/>
      <c r="FP18" s="42"/>
      <c r="FQ18" s="42"/>
      <c r="FR18" s="42"/>
      <c r="FS18" s="42"/>
      <c r="FT18" s="42"/>
      <c r="FU18" s="42"/>
      <c r="FV18" s="42"/>
      <c r="FW18" s="42"/>
      <c r="FX18" s="42"/>
      <c r="FY18" s="42"/>
      <c r="FZ18" s="42"/>
      <c r="GA18" s="42"/>
      <c r="GB18" s="42"/>
      <c r="GC18" s="42"/>
      <c r="GD18" s="42"/>
      <c r="GE18" s="42"/>
      <c r="GF18" s="42"/>
      <c r="GG18" s="42"/>
      <c r="GH18" s="42"/>
      <c r="GI18" s="42"/>
      <c r="GJ18" s="42"/>
      <c r="GK18" s="42"/>
      <c r="GL18" s="42"/>
      <c r="GM18" s="42"/>
      <c r="GN18" s="42"/>
      <c r="GO18" s="42"/>
      <c r="GP18" s="42"/>
      <c r="GQ18" s="42"/>
      <c r="GR18" s="42"/>
      <c r="GS18" s="42"/>
      <c r="GT18" s="42"/>
      <c r="GU18" s="42"/>
      <c r="GV18" s="42"/>
      <c r="GW18" s="42"/>
      <c r="GX18" s="42"/>
      <c r="GY18" s="42"/>
      <c r="GZ18" s="42"/>
      <c r="HA18" s="42"/>
      <c r="HB18" s="42"/>
      <c r="HC18" s="42"/>
      <c r="HD18" s="42"/>
      <c r="HE18" s="42"/>
      <c r="HF18" s="42"/>
      <c r="HG18" s="42"/>
      <c r="HH18" s="42"/>
      <c r="HI18" s="42"/>
      <c r="HJ18" s="42"/>
      <c r="HK18" s="42"/>
      <c r="HL18" s="42"/>
      <c r="HM18" s="42"/>
      <c r="HN18" s="42"/>
      <c r="HO18" s="42"/>
      <c r="HP18" s="42"/>
      <c r="HQ18" s="42"/>
      <c r="HR18" s="42"/>
      <c r="HS18" s="42"/>
      <c r="HT18" s="42"/>
      <c r="HU18" s="42"/>
      <c r="HV18" s="42"/>
      <c r="HW18" s="42"/>
      <c r="HX18" s="42"/>
      <c r="HY18" s="42"/>
      <c r="HZ18" s="42"/>
      <c r="IA18" s="42"/>
      <c r="IB18" s="42"/>
      <c r="IC18" s="42"/>
      <c r="ID18" s="42"/>
      <c r="IE18" s="42"/>
      <c r="IF18" s="42"/>
      <c r="IG18" s="42"/>
      <c r="IH18" s="42"/>
      <c r="II18" s="42"/>
      <c r="IJ18" s="42"/>
      <c r="IK18" s="42"/>
      <c r="IL18" s="42"/>
      <c r="IM18" s="42"/>
      <c r="IN18" s="42"/>
      <c r="IO18" s="42"/>
      <c r="IP18" s="42"/>
      <c r="IQ18" s="42"/>
      <c r="IR18" s="42"/>
      <c r="IS18" s="42"/>
      <c r="IT18" s="42"/>
      <c r="IU18" s="42"/>
      <c r="IV18" s="42"/>
      <c r="IW18" s="42"/>
    </row>
    <row r="19" customFormat="false" ht="21" hidden="false" customHeight="true" outlineLevel="0" collapsed="false">
      <c r="A19" s="33" t="s">
        <v>161</v>
      </c>
      <c r="B19" s="33"/>
      <c r="C19" s="93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/>
      <c r="DI19" s="42"/>
      <c r="DJ19" s="42"/>
      <c r="DK19" s="42"/>
      <c r="DL19" s="42"/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42"/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42"/>
      <c r="FH19" s="42"/>
      <c r="FI19" s="42"/>
      <c r="FJ19" s="42"/>
      <c r="FK19" s="42"/>
      <c r="FL19" s="42"/>
      <c r="FM19" s="42"/>
      <c r="FN19" s="42"/>
      <c r="FO19" s="42"/>
      <c r="FP19" s="42"/>
      <c r="FQ19" s="42"/>
      <c r="FR19" s="42"/>
      <c r="FS19" s="42"/>
      <c r="FT19" s="42"/>
      <c r="FU19" s="42"/>
      <c r="FV19" s="42"/>
      <c r="FW19" s="42"/>
      <c r="FX19" s="42"/>
      <c r="FY19" s="42"/>
      <c r="FZ19" s="42"/>
      <c r="GA19" s="42"/>
      <c r="GB19" s="42"/>
      <c r="GC19" s="42"/>
      <c r="GD19" s="42"/>
      <c r="GE19" s="42"/>
      <c r="GF19" s="42"/>
      <c r="GG19" s="42"/>
      <c r="GH19" s="42"/>
      <c r="GI19" s="42"/>
      <c r="GJ19" s="42"/>
      <c r="GK19" s="42"/>
      <c r="GL19" s="42"/>
      <c r="GM19" s="42"/>
      <c r="GN19" s="42"/>
      <c r="GO19" s="42"/>
      <c r="GP19" s="42"/>
      <c r="GQ19" s="42"/>
      <c r="GR19" s="42"/>
      <c r="GS19" s="42"/>
      <c r="GT19" s="42"/>
      <c r="GU19" s="42"/>
      <c r="GV19" s="42"/>
      <c r="GW19" s="42"/>
      <c r="GX19" s="42"/>
      <c r="GY19" s="42"/>
      <c r="GZ19" s="42"/>
      <c r="HA19" s="42"/>
      <c r="HB19" s="42"/>
      <c r="HC19" s="42"/>
      <c r="HD19" s="42"/>
      <c r="HE19" s="42"/>
      <c r="HF19" s="42"/>
      <c r="HG19" s="42"/>
      <c r="HH19" s="42"/>
      <c r="HI19" s="42"/>
      <c r="HJ19" s="42"/>
      <c r="HK19" s="42"/>
      <c r="HL19" s="42"/>
      <c r="HM19" s="42"/>
      <c r="HN19" s="42"/>
      <c r="HO19" s="42"/>
      <c r="HP19" s="42"/>
      <c r="HQ19" s="42"/>
      <c r="HR19" s="42"/>
      <c r="HS19" s="42"/>
      <c r="HT19" s="42"/>
      <c r="HU19" s="42"/>
      <c r="HV19" s="42"/>
      <c r="HW19" s="42"/>
      <c r="HX19" s="42"/>
      <c r="HY19" s="42"/>
      <c r="HZ19" s="42"/>
      <c r="IA19" s="42"/>
      <c r="IB19" s="42"/>
      <c r="IC19" s="42"/>
      <c r="ID19" s="42"/>
      <c r="IE19" s="42"/>
      <c r="IF19" s="42"/>
      <c r="IG19" s="42"/>
      <c r="IH19" s="42"/>
      <c r="II19" s="42"/>
      <c r="IJ19" s="42"/>
      <c r="IK19" s="42"/>
      <c r="IL19" s="42"/>
      <c r="IM19" s="42"/>
      <c r="IN19" s="42"/>
      <c r="IO19" s="42"/>
      <c r="IP19" s="42"/>
      <c r="IQ19" s="42"/>
      <c r="IR19" s="42"/>
      <c r="IS19" s="42"/>
      <c r="IT19" s="42"/>
      <c r="IU19" s="42"/>
      <c r="IV19" s="42"/>
      <c r="IW19" s="42"/>
    </row>
    <row r="20" customFormat="false" ht="21" hidden="false" customHeight="true" outlineLevel="0" collapsed="false">
      <c r="A20" s="39"/>
      <c r="B20" s="39"/>
      <c r="C20" s="41" t="s">
        <v>83</v>
      </c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2"/>
      <c r="EE20" s="42"/>
      <c r="EF20" s="42"/>
      <c r="EG20" s="42"/>
      <c r="EH20" s="42"/>
      <c r="EI20" s="42"/>
      <c r="EJ20" s="42"/>
      <c r="EK20" s="42"/>
      <c r="EL20" s="42"/>
      <c r="EM20" s="42"/>
      <c r="EN20" s="42"/>
      <c r="EO20" s="42"/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2"/>
      <c r="FA20" s="42"/>
      <c r="FB20" s="42"/>
      <c r="FC20" s="42"/>
      <c r="FD20" s="42"/>
      <c r="FE20" s="42"/>
      <c r="FF20" s="42"/>
      <c r="FG20" s="42"/>
      <c r="FH20" s="42"/>
      <c r="FI20" s="42"/>
      <c r="FJ20" s="42"/>
      <c r="FK20" s="42"/>
      <c r="FL20" s="42"/>
      <c r="FM20" s="42"/>
      <c r="FN20" s="42"/>
      <c r="FO20" s="42"/>
      <c r="FP20" s="42"/>
      <c r="FQ20" s="42"/>
      <c r="FR20" s="42"/>
      <c r="FS20" s="42"/>
      <c r="FT20" s="42"/>
      <c r="FU20" s="42"/>
      <c r="FV20" s="42"/>
      <c r="FW20" s="42"/>
      <c r="FX20" s="42"/>
      <c r="FY20" s="42"/>
      <c r="FZ20" s="42"/>
      <c r="GA20" s="42"/>
      <c r="GB20" s="42"/>
      <c r="GC20" s="42"/>
      <c r="GD20" s="42"/>
      <c r="GE20" s="42"/>
      <c r="GF20" s="42"/>
      <c r="GG20" s="42"/>
      <c r="GH20" s="42"/>
      <c r="GI20" s="42"/>
      <c r="GJ20" s="42"/>
      <c r="GK20" s="42"/>
      <c r="GL20" s="42"/>
      <c r="GM20" s="42"/>
      <c r="GN20" s="42"/>
      <c r="GO20" s="42"/>
      <c r="GP20" s="42"/>
      <c r="GQ20" s="42"/>
      <c r="GR20" s="42"/>
      <c r="GS20" s="42"/>
      <c r="GT20" s="42"/>
      <c r="GU20" s="42"/>
      <c r="GV20" s="42"/>
      <c r="GW20" s="42"/>
      <c r="GX20" s="42"/>
      <c r="GY20" s="42"/>
      <c r="GZ20" s="42"/>
      <c r="HA20" s="42"/>
      <c r="HB20" s="42"/>
      <c r="HC20" s="42"/>
      <c r="HD20" s="42"/>
      <c r="HE20" s="42"/>
      <c r="HF20" s="42"/>
      <c r="HG20" s="42"/>
      <c r="HH20" s="42"/>
      <c r="HI20" s="42"/>
      <c r="HJ20" s="42"/>
      <c r="HK20" s="42"/>
      <c r="HL20" s="42"/>
      <c r="HM20" s="42"/>
      <c r="HN20" s="42"/>
      <c r="HO20" s="42"/>
      <c r="HP20" s="42"/>
      <c r="HQ20" s="42"/>
      <c r="HR20" s="42"/>
      <c r="HS20" s="42"/>
      <c r="HT20" s="42"/>
      <c r="HU20" s="42"/>
      <c r="HV20" s="42"/>
      <c r="HW20" s="42"/>
      <c r="HX20" s="42"/>
      <c r="HY20" s="42"/>
      <c r="HZ20" s="42"/>
      <c r="IA20" s="42"/>
      <c r="IB20" s="42"/>
      <c r="IC20" s="42"/>
      <c r="ID20" s="42"/>
      <c r="IE20" s="42"/>
      <c r="IF20" s="42"/>
      <c r="IG20" s="42"/>
      <c r="IH20" s="42"/>
      <c r="II20" s="42"/>
      <c r="IJ20" s="42"/>
      <c r="IK20" s="42"/>
      <c r="IL20" s="42"/>
      <c r="IM20" s="42"/>
      <c r="IN20" s="42"/>
      <c r="IO20" s="42"/>
      <c r="IP20" s="42"/>
      <c r="IQ20" s="42"/>
      <c r="IR20" s="42"/>
      <c r="IS20" s="42"/>
      <c r="IT20" s="42"/>
      <c r="IU20" s="42"/>
      <c r="IV20" s="42"/>
      <c r="IW20" s="42"/>
    </row>
    <row r="21" customFormat="false" ht="22.2" hidden="false" customHeight="true" outlineLevel="0" collapsed="false"/>
  </sheetData>
  <mergeCells count="9">
    <mergeCell ref="A3:C3"/>
    <mergeCell ref="A4:C4"/>
    <mergeCell ref="B5:C5"/>
    <mergeCell ref="A6:A7"/>
    <mergeCell ref="B6:B7"/>
    <mergeCell ref="C6:C7"/>
    <mergeCell ref="A18:B18"/>
    <mergeCell ref="A19:B19"/>
    <mergeCell ref="A20:B20"/>
  </mergeCells>
  <hyperlinks>
    <hyperlink ref="C20" location="'Index '!A1" display="Back to index"/>
  </hyperlinks>
  <printOptions headings="true" gridLines="false" gridLinesSet="true" horizontalCentered="false" verticalCentered="false"/>
  <pageMargins left="0.7" right="0.7" top="0.75" bottom="0.75" header="0.511811023622047" footer="0.511811023622047"/>
  <pageSetup paperSize="9" scale="1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1"/>
  <sheetViews>
    <sheetView showFormulas="false" showGridLines="false" showRowColHeaders="true" showZeros="true" rightToLeft="false" tabSelected="false" showOutlineSymbols="true" defaultGridColor="true" view="pageBreakPreview" topLeftCell="A1" colorId="64" zoomScale="122" zoomScaleNormal="100" zoomScalePageLayoutView="122" workbookViewId="0">
      <selection pane="topLeft" activeCell="C1" activeCellId="0" sqref="C1"/>
    </sheetView>
  </sheetViews>
  <sheetFormatPr defaultColWidth="9.1015625" defaultRowHeight="13.2" customHeight="false" zeroHeight="false" outlineLevelRow="0" outlineLevelCol="0"/>
  <cols>
    <col collapsed="false" customWidth="false" hidden="false" outlineLevel="0" max="1" min="1" style="7" width="9.1"/>
    <col collapsed="false" customWidth="true" hidden="false" outlineLevel="0" max="2" min="2" style="16" width="20.66"/>
    <col collapsed="false" customWidth="true" hidden="false" outlineLevel="0" max="3" min="3" style="7" width="32.66"/>
    <col collapsed="false" customWidth="true" hidden="false" outlineLevel="0" max="4" min="4" style="42" width="10.87"/>
    <col collapsed="false" customWidth="false" hidden="false" outlineLevel="0" max="5" min="5" style="42" width="9.1"/>
    <col collapsed="false" customWidth="true" hidden="false" outlineLevel="0" max="6" min="6" style="42" width="11.66"/>
    <col collapsed="false" customWidth="true" hidden="false" outlineLevel="0" max="7" min="7" style="42" width="14.1"/>
    <col collapsed="false" customWidth="true" hidden="false" outlineLevel="0" max="8" min="8" style="42" width="11.43"/>
    <col collapsed="false" customWidth="false" hidden="false" outlineLevel="0" max="9" min="9" style="42" width="9.1"/>
    <col collapsed="false" customWidth="true" hidden="false" outlineLevel="0" max="10" min="10" style="7" width="0.33"/>
    <col collapsed="false" customWidth="false" hidden="true" outlineLevel="0" max="12" min="11" style="7" width="9.1"/>
    <col collapsed="false" customWidth="false" hidden="false" outlineLevel="0" max="257" min="13" style="7" width="9.1"/>
  </cols>
  <sheetData>
    <row r="1" customFormat="false" ht="21" hidden="false" customHeight="true" outlineLevel="0" collapsed="false">
      <c r="C1" s="91" t="s">
        <v>17</v>
      </c>
    </row>
    <row r="2" customFormat="false" ht="21" hidden="false" customHeight="true" outlineLevel="0" collapsed="false"/>
    <row r="3" customFormat="false" ht="21" hidden="false" customHeight="true" outlineLevel="0" collapsed="false">
      <c r="A3" s="18"/>
      <c r="B3" s="18"/>
      <c r="C3" s="18"/>
    </row>
    <row r="4" customFormat="false" ht="54.75" hidden="false" customHeight="true" outlineLevel="0" collapsed="false">
      <c r="A4" s="20" t="s">
        <v>12</v>
      </c>
      <c r="B4" s="20"/>
      <c r="C4" s="20"/>
    </row>
    <row r="5" customFormat="false" ht="21" hidden="false" customHeight="true" outlineLevel="0" collapsed="false">
      <c r="B5" s="21"/>
      <c r="C5" s="21"/>
    </row>
    <row r="6" customFormat="false" ht="21" hidden="false" customHeight="true" outlineLevel="0" collapsed="false">
      <c r="A6" s="79" t="s">
        <v>19</v>
      </c>
      <c r="B6" s="45" t="s">
        <v>149</v>
      </c>
      <c r="C6" s="45" t="s">
        <v>150</v>
      </c>
    </row>
    <row r="7" customFormat="false" ht="21" hidden="false" customHeight="true" outlineLevel="0" collapsed="false">
      <c r="A7" s="79" t="n">
        <v>1</v>
      </c>
      <c r="B7" s="45"/>
      <c r="C7" s="45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  <c r="EY7" s="42"/>
      <c r="EZ7" s="42"/>
      <c r="FA7" s="42"/>
      <c r="FB7" s="42"/>
      <c r="FC7" s="42"/>
      <c r="FD7" s="42"/>
      <c r="FE7" s="42"/>
      <c r="FF7" s="42"/>
      <c r="FG7" s="42"/>
      <c r="FH7" s="42"/>
      <c r="FI7" s="42"/>
      <c r="FJ7" s="42"/>
      <c r="FK7" s="42"/>
      <c r="FL7" s="42"/>
      <c r="FM7" s="42"/>
      <c r="FN7" s="42"/>
      <c r="FO7" s="42"/>
      <c r="FP7" s="42"/>
      <c r="FQ7" s="42"/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</row>
    <row r="8" customFormat="false" ht="21" hidden="false" customHeight="true" outlineLevel="0" collapsed="false">
      <c r="A8" s="47" t="n">
        <v>1</v>
      </c>
      <c r="B8" s="69" t="s">
        <v>151</v>
      </c>
      <c r="C8" s="58" t="n">
        <v>1307778</v>
      </c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  <c r="EY8" s="42"/>
      <c r="EZ8" s="42"/>
      <c r="FA8" s="42"/>
      <c r="FB8" s="42"/>
      <c r="FC8" s="42"/>
      <c r="FD8" s="42"/>
      <c r="FE8" s="42"/>
      <c r="FF8" s="42"/>
      <c r="FG8" s="42"/>
      <c r="FH8" s="42"/>
      <c r="FI8" s="42"/>
      <c r="FJ8" s="42"/>
      <c r="FK8" s="42"/>
      <c r="FL8" s="42"/>
      <c r="FM8" s="42"/>
      <c r="FN8" s="42"/>
      <c r="FO8" s="42"/>
      <c r="FP8" s="42"/>
      <c r="FQ8" s="42"/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</row>
    <row r="9" customFormat="false" ht="21" hidden="false" customHeight="true" outlineLevel="0" collapsed="false">
      <c r="A9" s="47" t="n">
        <v>1</v>
      </c>
      <c r="B9" s="69" t="s">
        <v>152</v>
      </c>
      <c r="C9" s="59" t="n">
        <v>1128089</v>
      </c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  <c r="EY9" s="42"/>
      <c r="EZ9" s="42"/>
      <c r="FA9" s="42"/>
      <c r="FB9" s="42"/>
      <c r="FC9" s="42"/>
      <c r="FD9" s="42"/>
      <c r="FE9" s="42"/>
      <c r="FF9" s="42"/>
      <c r="FG9" s="42"/>
      <c r="FH9" s="42"/>
      <c r="FI9" s="42"/>
      <c r="FJ9" s="42"/>
      <c r="FK9" s="42"/>
      <c r="FL9" s="42"/>
      <c r="FM9" s="42"/>
      <c r="FN9" s="42"/>
      <c r="FO9" s="42"/>
      <c r="FP9" s="42"/>
      <c r="FQ9" s="42"/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</row>
    <row r="10" customFormat="false" ht="21" hidden="false" customHeight="true" outlineLevel="0" collapsed="false">
      <c r="A10" s="47" t="n">
        <v>1</v>
      </c>
      <c r="B10" s="69" t="s">
        <v>156</v>
      </c>
      <c r="C10" s="58" t="n">
        <v>562488</v>
      </c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2"/>
      <c r="FA10" s="42"/>
      <c r="FB10" s="42"/>
      <c r="FC10" s="42"/>
      <c r="FD10" s="42"/>
      <c r="FE10" s="42"/>
      <c r="FF10" s="42"/>
      <c r="FG10" s="42"/>
      <c r="FH10" s="42"/>
      <c r="FI10" s="42"/>
      <c r="FJ10" s="42"/>
      <c r="FK10" s="42"/>
      <c r="FL10" s="42"/>
      <c r="FM10" s="42"/>
      <c r="FN10" s="42"/>
      <c r="FO10" s="42"/>
      <c r="FP10" s="42"/>
      <c r="FQ10" s="42"/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  <c r="IU10" s="42"/>
      <c r="IV10" s="42"/>
      <c r="IW10" s="42"/>
    </row>
    <row r="11" customFormat="false" ht="21" hidden="false" customHeight="true" outlineLevel="0" collapsed="false">
      <c r="A11" s="47" t="n">
        <v>1</v>
      </c>
      <c r="B11" s="69" t="s">
        <v>154</v>
      </c>
      <c r="C11" s="59" t="n">
        <v>513805</v>
      </c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2"/>
      <c r="FG11" s="42"/>
      <c r="FH11" s="42"/>
      <c r="FI11" s="42"/>
      <c r="FJ11" s="42"/>
      <c r="FK11" s="42"/>
      <c r="FL11" s="42"/>
      <c r="FM11" s="42"/>
      <c r="FN11" s="42"/>
      <c r="FO11" s="42"/>
      <c r="FP11" s="42"/>
      <c r="FQ11" s="42"/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2"/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2"/>
      <c r="IR11" s="42"/>
      <c r="IS11" s="42"/>
      <c r="IT11" s="42"/>
      <c r="IU11" s="42"/>
      <c r="IV11" s="42"/>
      <c r="IW11" s="42"/>
    </row>
    <row r="12" customFormat="false" ht="21" hidden="false" customHeight="true" outlineLevel="0" collapsed="false">
      <c r="A12" s="47" t="n">
        <v>1</v>
      </c>
      <c r="B12" s="69" t="s">
        <v>157</v>
      </c>
      <c r="C12" s="58" t="n">
        <v>483893</v>
      </c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42"/>
      <c r="FH12" s="42"/>
      <c r="FI12" s="42"/>
      <c r="FJ12" s="42"/>
      <c r="FK12" s="42"/>
      <c r="FL12" s="42"/>
      <c r="FM12" s="42"/>
      <c r="FN12" s="42"/>
      <c r="FO12" s="42"/>
      <c r="FP12" s="42"/>
      <c r="FQ12" s="42"/>
      <c r="FR12" s="42"/>
      <c r="FS12" s="42"/>
      <c r="FT12" s="42"/>
      <c r="FU12" s="42"/>
      <c r="FV12" s="42"/>
      <c r="FW12" s="42"/>
      <c r="FX12" s="42"/>
      <c r="FY12" s="42"/>
      <c r="FZ12" s="42"/>
      <c r="GA12" s="42"/>
      <c r="GB12" s="42"/>
      <c r="GC12" s="42"/>
      <c r="GD12" s="42"/>
      <c r="GE12" s="42"/>
      <c r="GF12" s="42"/>
      <c r="GG12" s="42"/>
      <c r="GH12" s="42"/>
      <c r="GI12" s="42"/>
      <c r="GJ12" s="42"/>
      <c r="GK12" s="42"/>
      <c r="GL12" s="42"/>
      <c r="GM12" s="42"/>
      <c r="GN12" s="42"/>
      <c r="GO12" s="42"/>
      <c r="GP12" s="42"/>
      <c r="GQ12" s="42"/>
      <c r="GR12" s="42"/>
      <c r="GS12" s="42"/>
      <c r="GT12" s="42"/>
      <c r="GU12" s="42"/>
      <c r="GV12" s="42"/>
      <c r="GW12" s="42"/>
      <c r="GX12" s="42"/>
      <c r="GY12" s="42"/>
      <c r="GZ12" s="42"/>
      <c r="HA12" s="42"/>
      <c r="HB12" s="42"/>
      <c r="HC12" s="42"/>
      <c r="HD12" s="42"/>
      <c r="HE12" s="42"/>
      <c r="HF12" s="42"/>
      <c r="HG12" s="42"/>
      <c r="HH12" s="42"/>
      <c r="HI12" s="42"/>
      <c r="HJ12" s="42"/>
      <c r="HK12" s="42"/>
      <c r="HL12" s="42"/>
      <c r="HM12" s="42"/>
      <c r="HN12" s="42"/>
      <c r="HO12" s="42"/>
      <c r="HP12" s="42"/>
      <c r="HQ12" s="42"/>
      <c r="HR12" s="42"/>
      <c r="HS12" s="42"/>
      <c r="HT12" s="42"/>
      <c r="HU12" s="42"/>
      <c r="HV12" s="42"/>
      <c r="HW12" s="42"/>
      <c r="HX12" s="42"/>
      <c r="HY12" s="42"/>
      <c r="HZ12" s="42"/>
      <c r="IA12" s="42"/>
      <c r="IB12" s="42"/>
      <c r="IC12" s="42"/>
      <c r="ID12" s="42"/>
      <c r="IE12" s="42"/>
      <c r="IF12" s="42"/>
      <c r="IG12" s="42"/>
      <c r="IH12" s="42"/>
      <c r="II12" s="42"/>
      <c r="IJ12" s="42"/>
      <c r="IK12" s="42"/>
      <c r="IL12" s="42"/>
      <c r="IM12" s="42"/>
      <c r="IN12" s="42"/>
      <c r="IO12" s="42"/>
      <c r="IP12" s="42"/>
      <c r="IQ12" s="42"/>
      <c r="IR12" s="42"/>
      <c r="IS12" s="42"/>
      <c r="IT12" s="42"/>
      <c r="IU12" s="42"/>
      <c r="IV12" s="42"/>
      <c r="IW12" s="42"/>
    </row>
    <row r="13" customFormat="false" ht="21" hidden="false" customHeight="true" outlineLevel="0" collapsed="false">
      <c r="A13" s="47" t="n">
        <v>1</v>
      </c>
      <c r="B13" s="69" t="s">
        <v>153</v>
      </c>
      <c r="C13" s="59" t="n">
        <v>316207</v>
      </c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42"/>
      <c r="FH13" s="42"/>
      <c r="FI13" s="42"/>
      <c r="FJ13" s="42"/>
      <c r="FK13" s="42"/>
      <c r="FL13" s="42"/>
      <c r="FM13" s="42"/>
      <c r="FN13" s="42"/>
      <c r="FO13" s="42"/>
      <c r="FP13" s="42"/>
      <c r="FQ13" s="42"/>
      <c r="FR13" s="42"/>
      <c r="FS13" s="42"/>
      <c r="FT13" s="42"/>
      <c r="FU13" s="42"/>
      <c r="FV13" s="42"/>
      <c r="FW13" s="42"/>
      <c r="FX13" s="42"/>
      <c r="FY13" s="42"/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42"/>
      <c r="GO13" s="42"/>
      <c r="GP13" s="42"/>
      <c r="GQ13" s="42"/>
      <c r="GR13" s="42"/>
      <c r="GS13" s="42"/>
      <c r="GT13" s="42"/>
      <c r="GU13" s="42"/>
      <c r="GV13" s="42"/>
      <c r="GW13" s="42"/>
      <c r="GX13" s="42"/>
      <c r="GY13" s="42"/>
      <c r="GZ13" s="42"/>
      <c r="HA13" s="42"/>
      <c r="HB13" s="42"/>
      <c r="HC13" s="42"/>
      <c r="HD13" s="42"/>
      <c r="HE13" s="42"/>
      <c r="HF13" s="42"/>
      <c r="HG13" s="42"/>
      <c r="HH13" s="42"/>
      <c r="HI13" s="42"/>
      <c r="HJ13" s="42"/>
      <c r="HK13" s="42"/>
      <c r="HL13" s="42"/>
      <c r="HM13" s="42"/>
      <c r="HN13" s="42"/>
      <c r="HO13" s="42"/>
      <c r="HP13" s="42"/>
      <c r="HQ13" s="42"/>
      <c r="HR13" s="42"/>
      <c r="HS13" s="42"/>
      <c r="HT13" s="42"/>
      <c r="HU13" s="42"/>
      <c r="HV13" s="42"/>
      <c r="HW13" s="42"/>
      <c r="HX13" s="42"/>
      <c r="HY13" s="42"/>
      <c r="HZ13" s="42"/>
      <c r="IA13" s="42"/>
      <c r="IB13" s="42"/>
      <c r="IC13" s="42"/>
      <c r="ID13" s="42"/>
      <c r="IE13" s="42"/>
      <c r="IF13" s="42"/>
      <c r="IG13" s="42"/>
      <c r="IH13" s="42"/>
      <c r="II13" s="42"/>
      <c r="IJ13" s="42"/>
      <c r="IK13" s="42"/>
      <c r="IL13" s="42"/>
      <c r="IM13" s="42"/>
      <c r="IN13" s="42"/>
      <c r="IO13" s="42"/>
      <c r="IP13" s="42"/>
      <c r="IQ13" s="42"/>
      <c r="IR13" s="42"/>
      <c r="IS13" s="42"/>
      <c r="IT13" s="42"/>
      <c r="IU13" s="42"/>
      <c r="IV13" s="42"/>
      <c r="IW13" s="42"/>
    </row>
    <row r="14" customFormat="false" ht="21" hidden="false" customHeight="true" outlineLevel="0" collapsed="false">
      <c r="A14" s="47" t="n">
        <v>1</v>
      </c>
      <c r="B14" s="69" t="s">
        <v>159</v>
      </c>
      <c r="C14" s="58" t="n">
        <v>292714</v>
      </c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2"/>
      <c r="FH14" s="42"/>
      <c r="FI14" s="42"/>
      <c r="FJ14" s="42"/>
      <c r="FK14" s="42"/>
      <c r="FL14" s="42"/>
      <c r="FM14" s="42"/>
      <c r="FN14" s="42"/>
      <c r="FO14" s="42"/>
      <c r="FP14" s="42"/>
      <c r="FQ14" s="42"/>
      <c r="FR14" s="42"/>
      <c r="FS14" s="42"/>
      <c r="FT14" s="42"/>
      <c r="FU14" s="42"/>
      <c r="FV14" s="42"/>
      <c r="FW14" s="42"/>
      <c r="FX14" s="42"/>
      <c r="FY14" s="42"/>
      <c r="FZ14" s="42"/>
      <c r="GA14" s="42"/>
      <c r="GB14" s="42"/>
      <c r="GC14" s="42"/>
      <c r="GD14" s="42"/>
      <c r="GE14" s="42"/>
      <c r="GF14" s="42"/>
      <c r="GG14" s="42"/>
      <c r="GH14" s="42"/>
      <c r="GI14" s="42"/>
      <c r="GJ14" s="42"/>
      <c r="GK14" s="42"/>
      <c r="GL14" s="42"/>
      <c r="GM14" s="42"/>
      <c r="GN14" s="42"/>
      <c r="GO14" s="42"/>
      <c r="GP14" s="42"/>
      <c r="GQ14" s="42"/>
      <c r="GR14" s="42"/>
      <c r="GS14" s="42"/>
      <c r="GT14" s="42"/>
      <c r="GU14" s="42"/>
      <c r="GV14" s="42"/>
      <c r="GW14" s="42"/>
      <c r="GX14" s="42"/>
      <c r="GY14" s="42"/>
      <c r="GZ14" s="42"/>
      <c r="HA14" s="42"/>
      <c r="HB14" s="42"/>
      <c r="HC14" s="42"/>
      <c r="HD14" s="42"/>
      <c r="HE14" s="42"/>
      <c r="HF14" s="42"/>
      <c r="HG14" s="42"/>
      <c r="HH14" s="42"/>
      <c r="HI14" s="42"/>
      <c r="HJ14" s="42"/>
      <c r="HK14" s="42"/>
      <c r="HL14" s="42"/>
      <c r="HM14" s="42"/>
      <c r="HN14" s="42"/>
      <c r="HO14" s="42"/>
      <c r="HP14" s="42"/>
      <c r="HQ14" s="42"/>
      <c r="HR14" s="42"/>
      <c r="HS14" s="42"/>
      <c r="HT14" s="42"/>
      <c r="HU14" s="42"/>
      <c r="HV14" s="42"/>
      <c r="HW14" s="42"/>
      <c r="HX14" s="42"/>
      <c r="HY14" s="42"/>
      <c r="HZ14" s="42"/>
      <c r="IA14" s="42"/>
      <c r="IB14" s="42"/>
      <c r="IC14" s="42"/>
      <c r="ID14" s="42"/>
      <c r="IE14" s="42"/>
      <c r="IF14" s="42"/>
      <c r="IG14" s="42"/>
      <c r="IH14" s="42"/>
      <c r="II14" s="42"/>
      <c r="IJ14" s="42"/>
      <c r="IK14" s="42"/>
      <c r="IL14" s="42"/>
      <c r="IM14" s="42"/>
      <c r="IN14" s="42"/>
      <c r="IO14" s="42"/>
      <c r="IP14" s="42"/>
      <c r="IQ14" s="42"/>
      <c r="IR14" s="42"/>
      <c r="IS14" s="42"/>
      <c r="IT14" s="42"/>
      <c r="IU14" s="42"/>
      <c r="IV14" s="42"/>
      <c r="IW14" s="42"/>
    </row>
    <row r="15" customFormat="false" ht="21" hidden="false" customHeight="true" outlineLevel="0" collapsed="false">
      <c r="A15" s="47" t="n">
        <v>1</v>
      </c>
      <c r="B15" s="69" t="s">
        <v>162</v>
      </c>
      <c r="C15" s="59" t="n">
        <v>270764</v>
      </c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2"/>
      <c r="EO15" s="42"/>
      <c r="EP15" s="42"/>
      <c r="EQ15" s="42"/>
      <c r="ER15" s="42"/>
      <c r="ES15" s="42"/>
      <c r="ET15" s="42"/>
      <c r="EU15" s="42"/>
      <c r="EV15" s="42"/>
      <c r="EW15" s="42"/>
      <c r="EX15" s="42"/>
      <c r="EY15" s="42"/>
      <c r="EZ15" s="42"/>
      <c r="FA15" s="42"/>
      <c r="FB15" s="42"/>
      <c r="FC15" s="42"/>
      <c r="FD15" s="42"/>
      <c r="FE15" s="42"/>
      <c r="FF15" s="42"/>
      <c r="FG15" s="42"/>
      <c r="FH15" s="42"/>
      <c r="FI15" s="42"/>
      <c r="FJ15" s="42"/>
      <c r="FK15" s="42"/>
      <c r="FL15" s="42"/>
      <c r="FM15" s="42"/>
      <c r="FN15" s="42"/>
      <c r="FO15" s="42"/>
      <c r="FP15" s="42"/>
      <c r="FQ15" s="42"/>
      <c r="FR15" s="42"/>
      <c r="FS15" s="42"/>
      <c r="FT15" s="42"/>
      <c r="FU15" s="42"/>
      <c r="FV15" s="42"/>
      <c r="FW15" s="42"/>
      <c r="FX15" s="42"/>
      <c r="FY15" s="42"/>
      <c r="FZ15" s="42"/>
      <c r="GA15" s="42"/>
      <c r="GB15" s="42"/>
      <c r="GC15" s="42"/>
      <c r="GD15" s="42"/>
      <c r="GE15" s="42"/>
      <c r="GF15" s="42"/>
      <c r="GG15" s="42"/>
      <c r="GH15" s="42"/>
      <c r="GI15" s="42"/>
      <c r="GJ15" s="42"/>
      <c r="GK15" s="42"/>
      <c r="GL15" s="42"/>
      <c r="GM15" s="42"/>
      <c r="GN15" s="42"/>
      <c r="GO15" s="42"/>
      <c r="GP15" s="42"/>
      <c r="GQ15" s="42"/>
      <c r="GR15" s="42"/>
      <c r="GS15" s="42"/>
      <c r="GT15" s="42"/>
      <c r="GU15" s="42"/>
      <c r="GV15" s="42"/>
      <c r="GW15" s="42"/>
      <c r="GX15" s="42"/>
      <c r="GY15" s="42"/>
      <c r="GZ15" s="42"/>
      <c r="HA15" s="42"/>
      <c r="HB15" s="42"/>
      <c r="HC15" s="42"/>
      <c r="HD15" s="42"/>
      <c r="HE15" s="42"/>
      <c r="HF15" s="42"/>
      <c r="HG15" s="42"/>
      <c r="HH15" s="42"/>
      <c r="HI15" s="42"/>
      <c r="HJ15" s="42"/>
      <c r="HK15" s="42"/>
      <c r="HL15" s="42"/>
      <c r="HM15" s="42"/>
      <c r="HN15" s="42"/>
      <c r="HO15" s="42"/>
      <c r="HP15" s="42"/>
      <c r="HQ15" s="42"/>
      <c r="HR15" s="42"/>
      <c r="HS15" s="42"/>
      <c r="HT15" s="42"/>
      <c r="HU15" s="42"/>
      <c r="HV15" s="42"/>
      <c r="HW15" s="42"/>
      <c r="HX15" s="42"/>
      <c r="HY15" s="42"/>
      <c r="HZ15" s="42"/>
      <c r="IA15" s="42"/>
      <c r="IB15" s="42"/>
      <c r="IC15" s="42"/>
      <c r="ID15" s="42"/>
      <c r="IE15" s="42"/>
      <c r="IF15" s="42"/>
      <c r="IG15" s="42"/>
      <c r="IH15" s="42"/>
      <c r="II15" s="42"/>
      <c r="IJ15" s="42"/>
      <c r="IK15" s="42"/>
      <c r="IL15" s="42"/>
      <c r="IM15" s="42"/>
      <c r="IN15" s="42"/>
      <c r="IO15" s="42"/>
      <c r="IP15" s="42"/>
      <c r="IQ15" s="42"/>
      <c r="IR15" s="42"/>
      <c r="IS15" s="42"/>
      <c r="IT15" s="42"/>
      <c r="IU15" s="42"/>
      <c r="IV15" s="42"/>
      <c r="IW15" s="42"/>
    </row>
    <row r="16" customFormat="false" ht="21" hidden="false" customHeight="true" outlineLevel="0" collapsed="false">
      <c r="A16" s="47" t="n">
        <v>1</v>
      </c>
      <c r="B16" s="69" t="s">
        <v>160</v>
      </c>
      <c r="C16" s="58" t="n">
        <v>241879</v>
      </c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2"/>
      <c r="DX16" s="42"/>
      <c r="DY16" s="42"/>
      <c r="DZ16" s="42"/>
      <c r="EA16" s="42"/>
      <c r="EB16" s="42"/>
      <c r="EC16" s="42"/>
      <c r="ED16" s="42"/>
      <c r="EE16" s="42"/>
      <c r="EF16" s="42"/>
      <c r="EG16" s="42"/>
      <c r="EH16" s="42"/>
      <c r="EI16" s="42"/>
      <c r="EJ16" s="42"/>
      <c r="EK16" s="42"/>
      <c r="EL16" s="42"/>
      <c r="EM16" s="42"/>
      <c r="EN16" s="42"/>
      <c r="EO16" s="42"/>
      <c r="EP16" s="42"/>
      <c r="EQ16" s="42"/>
      <c r="ER16" s="42"/>
      <c r="ES16" s="42"/>
      <c r="ET16" s="42"/>
      <c r="EU16" s="42"/>
      <c r="EV16" s="42"/>
      <c r="EW16" s="42"/>
      <c r="EX16" s="42"/>
      <c r="EY16" s="42"/>
      <c r="EZ16" s="42"/>
      <c r="FA16" s="42"/>
      <c r="FB16" s="42"/>
      <c r="FC16" s="42"/>
      <c r="FD16" s="42"/>
      <c r="FE16" s="42"/>
      <c r="FF16" s="42"/>
      <c r="FG16" s="42"/>
      <c r="FH16" s="42"/>
      <c r="FI16" s="42"/>
      <c r="FJ16" s="42"/>
      <c r="FK16" s="42"/>
      <c r="FL16" s="42"/>
      <c r="FM16" s="42"/>
      <c r="FN16" s="42"/>
      <c r="FO16" s="42"/>
      <c r="FP16" s="42"/>
      <c r="FQ16" s="42"/>
      <c r="FR16" s="42"/>
      <c r="FS16" s="42"/>
      <c r="FT16" s="42"/>
      <c r="FU16" s="42"/>
      <c r="FV16" s="42"/>
      <c r="FW16" s="42"/>
      <c r="FX16" s="42"/>
      <c r="FY16" s="42"/>
      <c r="FZ16" s="42"/>
      <c r="GA16" s="42"/>
      <c r="GB16" s="42"/>
      <c r="GC16" s="42"/>
      <c r="GD16" s="42"/>
      <c r="GE16" s="42"/>
      <c r="GF16" s="42"/>
      <c r="GG16" s="42"/>
      <c r="GH16" s="42"/>
      <c r="GI16" s="42"/>
      <c r="GJ16" s="42"/>
      <c r="GK16" s="42"/>
      <c r="GL16" s="42"/>
      <c r="GM16" s="42"/>
      <c r="GN16" s="42"/>
      <c r="GO16" s="42"/>
      <c r="GP16" s="42"/>
      <c r="GQ16" s="42"/>
      <c r="GR16" s="42"/>
      <c r="GS16" s="42"/>
      <c r="GT16" s="42"/>
      <c r="GU16" s="42"/>
      <c r="GV16" s="42"/>
      <c r="GW16" s="42"/>
      <c r="GX16" s="42"/>
      <c r="GY16" s="42"/>
      <c r="GZ16" s="42"/>
      <c r="HA16" s="42"/>
      <c r="HB16" s="42"/>
      <c r="HC16" s="42"/>
      <c r="HD16" s="42"/>
      <c r="HE16" s="42"/>
      <c r="HF16" s="42"/>
      <c r="HG16" s="42"/>
      <c r="HH16" s="42"/>
      <c r="HI16" s="42"/>
      <c r="HJ16" s="42"/>
      <c r="HK16" s="42"/>
      <c r="HL16" s="42"/>
      <c r="HM16" s="42"/>
      <c r="HN16" s="42"/>
      <c r="HO16" s="42"/>
      <c r="HP16" s="42"/>
      <c r="HQ16" s="42"/>
      <c r="HR16" s="42"/>
      <c r="HS16" s="42"/>
      <c r="HT16" s="42"/>
      <c r="HU16" s="42"/>
      <c r="HV16" s="42"/>
      <c r="HW16" s="42"/>
      <c r="HX16" s="42"/>
      <c r="HY16" s="42"/>
      <c r="HZ16" s="42"/>
      <c r="IA16" s="42"/>
      <c r="IB16" s="42"/>
      <c r="IC16" s="42"/>
      <c r="ID16" s="42"/>
      <c r="IE16" s="42"/>
      <c r="IF16" s="42"/>
      <c r="IG16" s="42"/>
      <c r="IH16" s="42"/>
      <c r="II16" s="42"/>
      <c r="IJ16" s="42"/>
      <c r="IK16" s="42"/>
      <c r="IL16" s="42"/>
      <c r="IM16" s="42"/>
      <c r="IN16" s="42"/>
      <c r="IO16" s="42"/>
      <c r="IP16" s="42"/>
      <c r="IQ16" s="42"/>
      <c r="IR16" s="42"/>
      <c r="IS16" s="42"/>
      <c r="IT16" s="42"/>
      <c r="IU16" s="42"/>
      <c r="IV16" s="42"/>
      <c r="IW16" s="42"/>
    </row>
    <row r="17" customFormat="false" ht="21" hidden="false" customHeight="true" outlineLevel="0" collapsed="false">
      <c r="A17" s="47" t="n">
        <v>1</v>
      </c>
      <c r="B17" s="69" t="s">
        <v>163</v>
      </c>
      <c r="C17" s="59" t="n">
        <v>154192</v>
      </c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  <c r="EO17" s="42"/>
      <c r="EP17" s="42"/>
      <c r="EQ17" s="42"/>
      <c r="ER17" s="42"/>
      <c r="ES17" s="42"/>
      <c r="ET17" s="42"/>
      <c r="EU17" s="42"/>
      <c r="EV17" s="42"/>
      <c r="EW17" s="42"/>
      <c r="EX17" s="42"/>
      <c r="EY17" s="42"/>
      <c r="EZ17" s="42"/>
      <c r="FA17" s="42"/>
      <c r="FB17" s="42"/>
      <c r="FC17" s="42"/>
      <c r="FD17" s="42"/>
      <c r="FE17" s="42"/>
      <c r="FF17" s="42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/>
      <c r="GL17" s="42"/>
      <c r="GM17" s="42"/>
      <c r="GN17" s="42"/>
      <c r="GO17" s="42"/>
      <c r="GP17" s="42"/>
      <c r="GQ17" s="42"/>
      <c r="GR17" s="42"/>
      <c r="GS17" s="42"/>
      <c r="GT17" s="42"/>
      <c r="GU17" s="42"/>
      <c r="GV17" s="42"/>
      <c r="GW17" s="42"/>
      <c r="GX17" s="42"/>
      <c r="GY17" s="42"/>
      <c r="GZ17" s="42"/>
      <c r="HA17" s="42"/>
      <c r="HB17" s="42"/>
      <c r="HC17" s="42"/>
      <c r="HD17" s="42"/>
      <c r="HE17" s="42"/>
      <c r="HF17" s="42"/>
      <c r="HG17" s="42"/>
      <c r="HH17" s="42"/>
      <c r="HI17" s="42"/>
      <c r="HJ17" s="42"/>
      <c r="HK17" s="42"/>
      <c r="HL17" s="42"/>
      <c r="HM17" s="42"/>
      <c r="HN17" s="42"/>
      <c r="HO17" s="42"/>
      <c r="HP17" s="42"/>
      <c r="HQ17" s="42"/>
      <c r="HR17" s="42"/>
      <c r="HS17" s="42"/>
      <c r="HT17" s="42"/>
      <c r="HU17" s="42"/>
      <c r="HV17" s="42"/>
      <c r="HW17" s="42"/>
      <c r="HX17" s="42"/>
      <c r="HY17" s="42"/>
      <c r="HZ17" s="42"/>
      <c r="IA17" s="42"/>
      <c r="IB17" s="42"/>
      <c r="IC17" s="42"/>
      <c r="ID17" s="42"/>
      <c r="IE17" s="42"/>
      <c r="IF17" s="42"/>
      <c r="IG17" s="42"/>
      <c r="IH17" s="42"/>
      <c r="II17" s="42"/>
      <c r="IJ17" s="42"/>
      <c r="IK17" s="42"/>
      <c r="IL17" s="42"/>
      <c r="IM17" s="42"/>
      <c r="IN17" s="42"/>
      <c r="IO17" s="42"/>
      <c r="IP17" s="42"/>
      <c r="IQ17" s="42"/>
      <c r="IR17" s="42"/>
      <c r="IS17" s="42"/>
      <c r="IT17" s="42"/>
      <c r="IU17" s="42"/>
      <c r="IV17" s="42"/>
      <c r="IW17" s="42"/>
    </row>
    <row r="18" customFormat="false" ht="21" hidden="false" customHeight="true" outlineLevel="0" collapsed="false">
      <c r="A18" s="72" t="s">
        <v>100</v>
      </c>
      <c r="B18" s="72"/>
      <c r="C18" s="92" t="n">
        <f aca="false">SUM(C8:C17)</f>
        <v>5271809</v>
      </c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 s="42"/>
      <c r="DT18" s="42"/>
      <c r="DU18" s="42"/>
      <c r="DV18" s="42"/>
      <c r="DW18" s="42"/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/>
      <c r="EN18" s="42"/>
      <c r="EO18" s="42"/>
      <c r="EP18" s="42"/>
      <c r="EQ18" s="42"/>
      <c r="ER18" s="42"/>
      <c r="ES18" s="42"/>
      <c r="ET18" s="42"/>
      <c r="EU18" s="42"/>
      <c r="EV18" s="42"/>
      <c r="EW18" s="42"/>
      <c r="EX18" s="42"/>
      <c r="EY18" s="42"/>
      <c r="EZ18" s="42"/>
      <c r="FA18" s="42"/>
      <c r="FB18" s="42"/>
      <c r="FC18" s="42"/>
      <c r="FD18" s="42"/>
      <c r="FE18" s="42"/>
      <c r="FF18" s="42"/>
      <c r="FG18" s="42"/>
      <c r="FH18" s="42"/>
      <c r="FI18" s="42"/>
      <c r="FJ18" s="42"/>
      <c r="FK18" s="42"/>
      <c r="FL18" s="42"/>
      <c r="FM18" s="42"/>
      <c r="FN18" s="42"/>
      <c r="FO18" s="42"/>
      <c r="FP18" s="42"/>
      <c r="FQ18" s="42"/>
      <c r="FR18" s="42"/>
      <c r="FS18" s="42"/>
      <c r="FT18" s="42"/>
      <c r="FU18" s="42"/>
      <c r="FV18" s="42"/>
      <c r="FW18" s="42"/>
      <c r="FX18" s="42"/>
      <c r="FY18" s="42"/>
      <c r="FZ18" s="42"/>
      <c r="GA18" s="42"/>
      <c r="GB18" s="42"/>
      <c r="GC18" s="42"/>
      <c r="GD18" s="42"/>
      <c r="GE18" s="42"/>
      <c r="GF18" s="42"/>
      <c r="GG18" s="42"/>
      <c r="GH18" s="42"/>
      <c r="GI18" s="42"/>
      <c r="GJ18" s="42"/>
      <c r="GK18" s="42"/>
      <c r="GL18" s="42"/>
      <c r="GM18" s="42"/>
      <c r="GN18" s="42"/>
      <c r="GO18" s="42"/>
      <c r="GP18" s="42"/>
      <c r="GQ18" s="42"/>
      <c r="GR18" s="42"/>
      <c r="GS18" s="42"/>
      <c r="GT18" s="42"/>
      <c r="GU18" s="42"/>
      <c r="GV18" s="42"/>
      <c r="GW18" s="42"/>
      <c r="GX18" s="42"/>
      <c r="GY18" s="42"/>
      <c r="GZ18" s="42"/>
      <c r="HA18" s="42"/>
      <c r="HB18" s="42"/>
      <c r="HC18" s="42"/>
      <c r="HD18" s="42"/>
      <c r="HE18" s="42"/>
      <c r="HF18" s="42"/>
      <c r="HG18" s="42"/>
      <c r="HH18" s="42"/>
      <c r="HI18" s="42"/>
      <c r="HJ18" s="42"/>
      <c r="HK18" s="42"/>
      <c r="HL18" s="42"/>
      <c r="HM18" s="42"/>
      <c r="HN18" s="42"/>
      <c r="HO18" s="42"/>
      <c r="HP18" s="42"/>
      <c r="HQ18" s="42"/>
      <c r="HR18" s="42"/>
      <c r="HS18" s="42"/>
      <c r="HT18" s="42"/>
      <c r="HU18" s="42"/>
      <c r="HV18" s="42"/>
      <c r="HW18" s="42"/>
      <c r="HX18" s="42"/>
      <c r="HY18" s="42"/>
      <c r="HZ18" s="42"/>
      <c r="IA18" s="42"/>
      <c r="IB18" s="42"/>
      <c r="IC18" s="42"/>
      <c r="ID18" s="42"/>
      <c r="IE18" s="42"/>
      <c r="IF18" s="42"/>
      <c r="IG18" s="42"/>
      <c r="IH18" s="42"/>
      <c r="II18" s="42"/>
      <c r="IJ18" s="42"/>
      <c r="IK18" s="42"/>
      <c r="IL18" s="42"/>
      <c r="IM18" s="42"/>
      <c r="IN18" s="42"/>
      <c r="IO18" s="42"/>
      <c r="IP18" s="42"/>
      <c r="IQ18" s="42"/>
      <c r="IR18" s="42"/>
      <c r="IS18" s="42"/>
      <c r="IT18" s="42"/>
      <c r="IU18" s="42"/>
      <c r="IV18" s="42"/>
      <c r="IW18" s="42"/>
    </row>
    <row r="19" customFormat="false" ht="21" hidden="false" customHeight="true" outlineLevel="0" collapsed="false">
      <c r="A19" s="33" t="s">
        <v>161</v>
      </c>
      <c r="B19" s="33"/>
      <c r="C19" s="93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/>
      <c r="DI19" s="42"/>
      <c r="DJ19" s="42"/>
      <c r="DK19" s="42"/>
      <c r="DL19" s="42"/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42"/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42"/>
      <c r="FH19" s="42"/>
      <c r="FI19" s="42"/>
      <c r="FJ19" s="42"/>
      <c r="FK19" s="42"/>
      <c r="FL19" s="42"/>
      <c r="FM19" s="42"/>
      <c r="FN19" s="42"/>
      <c r="FO19" s="42"/>
      <c r="FP19" s="42"/>
      <c r="FQ19" s="42"/>
      <c r="FR19" s="42"/>
      <c r="FS19" s="42"/>
      <c r="FT19" s="42"/>
      <c r="FU19" s="42"/>
      <c r="FV19" s="42"/>
      <c r="FW19" s="42"/>
      <c r="FX19" s="42"/>
      <c r="FY19" s="42"/>
      <c r="FZ19" s="42"/>
      <c r="GA19" s="42"/>
      <c r="GB19" s="42"/>
      <c r="GC19" s="42"/>
      <c r="GD19" s="42"/>
      <c r="GE19" s="42"/>
      <c r="GF19" s="42"/>
      <c r="GG19" s="42"/>
      <c r="GH19" s="42"/>
      <c r="GI19" s="42"/>
      <c r="GJ19" s="42"/>
      <c r="GK19" s="42"/>
      <c r="GL19" s="42"/>
      <c r="GM19" s="42"/>
      <c r="GN19" s="42"/>
      <c r="GO19" s="42"/>
      <c r="GP19" s="42"/>
      <c r="GQ19" s="42"/>
      <c r="GR19" s="42"/>
      <c r="GS19" s="42"/>
      <c r="GT19" s="42"/>
      <c r="GU19" s="42"/>
      <c r="GV19" s="42"/>
      <c r="GW19" s="42"/>
      <c r="GX19" s="42"/>
      <c r="GY19" s="42"/>
      <c r="GZ19" s="42"/>
      <c r="HA19" s="42"/>
      <c r="HB19" s="42"/>
      <c r="HC19" s="42"/>
      <c r="HD19" s="42"/>
      <c r="HE19" s="42"/>
      <c r="HF19" s="42"/>
      <c r="HG19" s="42"/>
      <c r="HH19" s="42"/>
      <c r="HI19" s="42"/>
      <c r="HJ19" s="42"/>
      <c r="HK19" s="42"/>
      <c r="HL19" s="42"/>
      <c r="HM19" s="42"/>
      <c r="HN19" s="42"/>
      <c r="HO19" s="42"/>
      <c r="HP19" s="42"/>
      <c r="HQ19" s="42"/>
      <c r="HR19" s="42"/>
      <c r="HS19" s="42"/>
      <c r="HT19" s="42"/>
      <c r="HU19" s="42"/>
      <c r="HV19" s="42"/>
      <c r="HW19" s="42"/>
      <c r="HX19" s="42"/>
      <c r="HY19" s="42"/>
      <c r="HZ19" s="42"/>
      <c r="IA19" s="42"/>
      <c r="IB19" s="42"/>
      <c r="IC19" s="42"/>
      <c r="ID19" s="42"/>
      <c r="IE19" s="42"/>
      <c r="IF19" s="42"/>
      <c r="IG19" s="42"/>
      <c r="IH19" s="42"/>
      <c r="II19" s="42"/>
      <c r="IJ19" s="42"/>
      <c r="IK19" s="42"/>
      <c r="IL19" s="42"/>
      <c r="IM19" s="42"/>
      <c r="IN19" s="42"/>
      <c r="IO19" s="42"/>
      <c r="IP19" s="42"/>
      <c r="IQ19" s="42"/>
      <c r="IR19" s="42"/>
      <c r="IS19" s="42"/>
      <c r="IT19" s="42"/>
      <c r="IU19" s="42"/>
      <c r="IV19" s="42"/>
      <c r="IW19" s="42"/>
    </row>
    <row r="20" customFormat="false" ht="21" hidden="false" customHeight="true" outlineLevel="0" collapsed="false">
      <c r="A20" s="39"/>
      <c r="B20" s="39"/>
      <c r="C20" s="41" t="s">
        <v>83</v>
      </c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2"/>
      <c r="EE20" s="42"/>
      <c r="EF20" s="42"/>
      <c r="EG20" s="42"/>
      <c r="EH20" s="42"/>
      <c r="EI20" s="42"/>
      <c r="EJ20" s="42"/>
      <c r="EK20" s="42"/>
      <c r="EL20" s="42"/>
      <c r="EM20" s="42"/>
      <c r="EN20" s="42"/>
      <c r="EO20" s="42"/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2"/>
      <c r="FA20" s="42"/>
      <c r="FB20" s="42"/>
      <c r="FC20" s="42"/>
      <c r="FD20" s="42"/>
      <c r="FE20" s="42"/>
      <c r="FF20" s="42"/>
      <c r="FG20" s="42"/>
      <c r="FH20" s="42"/>
      <c r="FI20" s="42"/>
      <c r="FJ20" s="42"/>
      <c r="FK20" s="42"/>
      <c r="FL20" s="42"/>
      <c r="FM20" s="42"/>
      <c r="FN20" s="42"/>
      <c r="FO20" s="42"/>
      <c r="FP20" s="42"/>
      <c r="FQ20" s="42"/>
      <c r="FR20" s="42"/>
      <c r="FS20" s="42"/>
      <c r="FT20" s="42"/>
      <c r="FU20" s="42"/>
      <c r="FV20" s="42"/>
      <c r="FW20" s="42"/>
      <c r="FX20" s="42"/>
      <c r="FY20" s="42"/>
      <c r="FZ20" s="42"/>
      <c r="GA20" s="42"/>
      <c r="GB20" s="42"/>
      <c r="GC20" s="42"/>
      <c r="GD20" s="42"/>
      <c r="GE20" s="42"/>
      <c r="GF20" s="42"/>
      <c r="GG20" s="42"/>
      <c r="GH20" s="42"/>
      <c r="GI20" s="42"/>
      <c r="GJ20" s="42"/>
      <c r="GK20" s="42"/>
      <c r="GL20" s="42"/>
      <c r="GM20" s="42"/>
      <c r="GN20" s="42"/>
      <c r="GO20" s="42"/>
      <c r="GP20" s="42"/>
      <c r="GQ20" s="42"/>
      <c r="GR20" s="42"/>
      <c r="GS20" s="42"/>
      <c r="GT20" s="42"/>
      <c r="GU20" s="42"/>
      <c r="GV20" s="42"/>
      <c r="GW20" s="42"/>
      <c r="GX20" s="42"/>
      <c r="GY20" s="42"/>
      <c r="GZ20" s="42"/>
      <c r="HA20" s="42"/>
      <c r="HB20" s="42"/>
      <c r="HC20" s="42"/>
      <c r="HD20" s="42"/>
      <c r="HE20" s="42"/>
      <c r="HF20" s="42"/>
      <c r="HG20" s="42"/>
      <c r="HH20" s="42"/>
      <c r="HI20" s="42"/>
      <c r="HJ20" s="42"/>
      <c r="HK20" s="42"/>
      <c r="HL20" s="42"/>
      <c r="HM20" s="42"/>
      <c r="HN20" s="42"/>
      <c r="HO20" s="42"/>
      <c r="HP20" s="42"/>
      <c r="HQ20" s="42"/>
      <c r="HR20" s="42"/>
      <c r="HS20" s="42"/>
      <c r="HT20" s="42"/>
      <c r="HU20" s="42"/>
      <c r="HV20" s="42"/>
      <c r="HW20" s="42"/>
      <c r="HX20" s="42"/>
      <c r="HY20" s="42"/>
      <c r="HZ20" s="42"/>
      <c r="IA20" s="42"/>
      <c r="IB20" s="42"/>
      <c r="IC20" s="42"/>
      <c r="ID20" s="42"/>
      <c r="IE20" s="42"/>
      <c r="IF20" s="42"/>
      <c r="IG20" s="42"/>
      <c r="IH20" s="42"/>
      <c r="II20" s="42"/>
      <c r="IJ20" s="42"/>
      <c r="IK20" s="42"/>
      <c r="IL20" s="42"/>
      <c r="IM20" s="42"/>
      <c r="IN20" s="42"/>
      <c r="IO20" s="42"/>
      <c r="IP20" s="42"/>
      <c r="IQ20" s="42"/>
      <c r="IR20" s="42"/>
      <c r="IS20" s="42"/>
      <c r="IT20" s="42"/>
      <c r="IU20" s="42"/>
      <c r="IV20" s="42"/>
      <c r="IW20" s="42"/>
    </row>
    <row r="21" customFormat="false" ht="22.2" hidden="false" customHeight="true" outlineLevel="0" collapsed="false"/>
  </sheetData>
  <mergeCells count="9">
    <mergeCell ref="A3:C3"/>
    <mergeCell ref="A4:C4"/>
    <mergeCell ref="B5:C5"/>
    <mergeCell ref="A6:A7"/>
    <mergeCell ref="B6:B7"/>
    <mergeCell ref="C6:C7"/>
    <mergeCell ref="A18:B18"/>
    <mergeCell ref="A19:B19"/>
    <mergeCell ref="A20:B20"/>
  </mergeCells>
  <hyperlinks>
    <hyperlink ref="C20" location="'Index '!A1" display="Back to index"/>
  </hyperlinks>
  <printOptions headings="true" gridLines="false" gridLinesSet="true" horizontalCentered="false" verticalCentered="false"/>
  <pageMargins left="0.7" right="0.7" top="0.75" bottom="0.75" header="0.511811023622047" footer="0.511811023622047"/>
  <pageSetup paperSize="9" scale="1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1"/>
  <sheetViews>
    <sheetView showFormulas="false" showGridLines="false" showRowColHeaders="true" showZeros="true" rightToLeft="false" tabSelected="false" showOutlineSymbols="true" defaultGridColor="true" view="pageBreakPreview" topLeftCell="A1" colorId="64" zoomScale="122" zoomScaleNormal="100" zoomScalePageLayoutView="122" workbookViewId="0">
      <selection pane="topLeft" activeCell="C1" activeCellId="0" sqref="C1"/>
    </sheetView>
  </sheetViews>
  <sheetFormatPr defaultColWidth="9.1015625" defaultRowHeight="13.2" customHeight="false" zeroHeight="false" outlineLevelRow="0" outlineLevelCol="0"/>
  <cols>
    <col collapsed="false" customWidth="false" hidden="false" outlineLevel="0" max="1" min="1" style="7" width="9.1"/>
    <col collapsed="false" customWidth="true" hidden="false" outlineLevel="0" max="2" min="2" style="16" width="20.66"/>
    <col collapsed="false" customWidth="true" hidden="false" outlineLevel="0" max="3" min="3" style="7" width="32.66"/>
    <col collapsed="false" customWidth="true" hidden="false" outlineLevel="0" max="4" min="4" style="42" width="10.87"/>
    <col collapsed="false" customWidth="false" hidden="false" outlineLevel="0" max="5" min="5" style="42" width="9.1"/>
    <col collapsed="false" customWidth="true" hidden="false" outlineLevel="0" max="6" min="6" style="42" width="11.66"/>
    <col collapsed="false" customWidth="true" hidden="false" outlineLevel="0" max="7" min="7" style="42" width="14.1"/>
    <col collapsed="false" customWidth="true" hidden="false" outlineLevel="0" max="8" min="8" style="42" width="11.43"/>
    <col collapsed="false" customWidth="false" hidden="false" outlineLevel="0" max="9" min="9" style="42" width="9.1"/>
    <col collapsed="false" customWidth="true" hidden="false" outlineLevel="0" max="10" min="10" style="7" width="0.33"/>
    <col collapsed="false" customWidth="false" hidden="true" outlineLevel="0" max="12" min="11" style="7" width="9.1"/>
    <col collapsed="false" customWidth="false" hidden="false" outlineLevel="0" max="257" min="13" style="7" width="9.1"/>
  </cols>
  <sheetData>
    <row r="1" customFormat="false" ht="21" hidden="false" customHeight="true" outlineLevel="0" collapsed="false">
      <c r="C1" s="91" t="s">
        <v>17</v>
      </c>
    </row>
    <row r="2" customFormat="false" ht="21" hidden="false" customHeight="true" outlineLevel="0" collapsed="false"/>
    <row r="3" customFormat="false" ht="21" hidden="false" customHeight="true" outlineLevel="0" collapsed="false">
      <c r="A3" s="18"/>
      <c r="B3" s="18"/>
      <c r="C3" s="18"/>
    </row>
    <row r="4" customFormat="false" ht="54.75" hidden="false" customHeight="true" outlineLevel="0" collapsed="false">
      <c r="A4" s="20" t="s">
        <v>164</v>
      </c>
      <c r="B4" s="20"/>
      <c r="C4" s="20"/>
    </row>
    <row r="5" customFormat="false" ht="21" hidden="false" customHeight="true" outlineLevel="0" collapsed="false">
      <c r="B5" s="21"/>
      <c r="C5" s="21"/>
    </row>
    <row r="6" customFormat="false" ht="21" hidden="false" customHeight="true" outlineLevel="0" collapsed="false">
      <c r="A6" s="79" t="s">
        <v>19</v>
      </c>
      <c r="B6" s="45" t="s">
        <v>149</v>
      </c>
      <c r="C6" s="45" t="s">
        <v>150</v>
      </c>
    </row>
    <row r="7" customFormat="false" ht="21" hidden="false" customHeight="true" outlineLevel="0" collapsed="false">
      <c r="A7" s="79" t="n">
        <v>1</v>
      </c>
      <c r="B7" s="45"/>
      <c r="C7" s="45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  <c r="EY7" s="42"/>
      <c r="EZ7" s="42"/>
      <c r="FA7" s="42"/>
      <c r="FB7" s="42"/>
      <c r="FC7" s="42"/>
      <c r="FD7" s="42"/>
      <c r="FE7" s="42"/>
      <c r="FF7" s="42"/>
      <c r="FG7" s="42"/>
      <c r="FH7" s="42"/>
      <c r="FI7" s="42"/>
      <c r="FJ7" s="42"/>
      <c r="FK7" s="42"/>
      <c r="FL7" s="42"/>
      <c r="FM7" s="42"/>
      <c r="FN7" s="42"/>
      <c r="FO7" s="42"/>
      <c r="FP7" s="42"/>
      <c r="FQ7" s="42"/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</row>
    <row r="8" customFormat="false" ht="21" hidden="false" customHeight="true" outlineLevel="0" collapsed="false">
      <c r="A8" s="47" t="n">
        <v>1</v>
      </c>
      <c r="B8" s="69" t="s">
        <v>151</v>
      </c>
      <c r="C8" s="58" t="n">
        <v>13269</v>
      </c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  <c r="EY8" s="42"/>
      <c r="EZ8" s="42"/>
      <c r="FA8" s="42"/>
      <c r="FB8" s="42"/>
      <c r="FC8" s="42"/>
      <c r="FD8" s="42"/>
      <c r="FE8" s="42"/>
      <c r="FF8" s="42"/>
      <c r="FG8" s="42"/>
      <c r="FH8" s="42"/>
      <c r="FI8" s="42"/>
      <c r="FJ8" s="42"/>
      <c r="FK8" s="42"/>
      <c r="FL8" s="42"/>
      <c r="FM8" s="42"/>
      <c r="FN8" s="42"/>
      <c r="FO8" s="42"/>
      <c r="FP8" s="42"/>
      <c r="FQ8" s="42"/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</row>
    <row r="9" customFormat="false" ht="21" hidden="false" customHeight="true" outlineLevel="0" collapsed="false">
      <c r="A9" s="47" t="n">
        <v>1</v>
      </c>
      <c r="B9" s="69" t="s">
        <v>152</v>
      </c>
      <c r="C9" s="59" t="n">
        <v>9947</v>
      </c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  <c r="EY9" s="42"/>
      <c r="EZ9" s="42"/>
      <c r="FA9" s="42"/>
      <c r="FB9" s="42"/>
      <c r="FC9" s="42"/>
      <c r="FD9" s="42"/>
      <c r="FE9" s="42"/>
      <c r="FF9" s="42"/>
      <c r="FG9" s="42"/>
      <c r="FH9" s="42"/>
      <c r="FI9" s="42"/>
      <c r="FJ9" s="42"/>
      <c r="FK9" s="42"/>
      <c r="FL9" s="42"/>
      <c r="FM9" s="42"/>
      <c r="FN9" s="42"/>
      <c r="FO9" s="42"/>
      <c r="FP9" s="42"/>
      <c r="FQ9" s="42"/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</row>
    <row r="10" customFormat="false" ht="21" hidden="false" customHeight="true" outlineLevel="0" collapsed="false">
      <c r="A10" s="47" t="n">
        <v>1</v>
      </c>
      <c r="B10" s="69" t="s">
        <v>156</v>
      </c>
      <c r="C10" s="58" t="n">
        <v>4428</v>
      </c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2"/>
      <c r="FA10" s="42"/>
      <c r="FB10" s="42"/>
      <c r="FC10" s="42"/>
      <c r="FD10" s="42"/>
      <c r="FE10" s="42"/>
      <c r="FF10" s="42"/>
      <c r="FG10" s="42"/>
      <c r="FH10" s="42"/>
      <c r="FI10" s="42"/>
      <c r="FJ10" s="42"/>
      <c r="FK10" s="42"/>
      <c r="FL10" s="42"/>
      <c r="FM10" s="42"/>
      <c r="FN10" s="42"/>
      <c r="FO10" s="42"/>
      <c r="FP10" s="42"/>
      <c r="FQ10" s="42"/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  <c r="IU10" s="42"/>
      <c r="IV10" s="42"/>
      <c r="IW10" s="42"/>
    </row>
    <row r="11" customFormat="false" ht="21" hidden="false" customHeight="true" outlineLevel="0" collapsed="false">
      <c r="A11" s="47" t="n">
        <v>1</v>
      </c>
      <c r="B11" s="69" t="s">
        <v>160</v>
      </c>
      <c r="C11" s="59" t="n">
        <v>4072</v>
      </c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2"/>
      <c r="FG11" s="42"/>
      <c r="FH11" s="42"/>
      <c r="FI11" s="42"/>
      <c r="FJ11" s="42"/>
      <c r="FK11" s="42"/>
      <c r="FL11" s="42"/>
      <c r="FM11" s="42"/>
      <c r="FN11" s="42"/>
      <c r="FO11" s="42"/>
      <c r="FP11" s="42"/>
      <c r="FQ11" s="42"/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2"/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2"/>
      <c r="IR11" s="42"/>
      <c r="IS11" s="42"/>
      <c r="IT11" s="42"/>
      <c r="IU11" s="42"/>
      <c r="IV11" s="42"/>
      <c r="IW11" s="42"/>
    </row>
    <row r="12" customFormat="false" ht="21" hidden="false" customHeight="true" outlineLevel="0" collapsed="false">
      <c r="A12" s="47" t="n">
        <v>1</v>
      </c>
      <c r="B12" s="69" t="s">
        <v>159</v>
      </c>
      <c r="C12" s="58" t="n">
        <v>3029</v>
      </c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42"/>
      <c r="FH12" s="42"/>
      <c r="FI12" s="42"/>
      <c r="FJ12" s="42"/>
      <c r="FK12" s="42"/>
      <c r="FL12" s="42"/>
      <c r="FM12" s="42"/>
      <c r="FN12" s="42"/>
      <c r="FO12" s="42"/>
      <c r="FP12" s="42"/>
      <c r="FQ12" s="42"/>
      <c r="FR12" s="42"/>
      <c r="FS12" s="42"/>
      <c r="FT12" s="42"/>
      <c r="FU12" s="42"/>
      <c r="FV12" s="42"/>
      <c r="FW12" s="42"/>
      <c r="FX12" s="42"/>
      <c r="FY12" s="42"/>
      <c r="FZ12" s="42"/>
      <c r="GA12" s="42"/>
      <c r="GB12" s="42"/>
      <c r="GC12" s="42"/>
      <c r="GD12" s="42"/>
      <c r="GE12" s="42"/>
      <c r="GF12" s="42"/>
      <c r="GG12" s="42"/>
      <c r="GH12" s="42"/>
      <c r="GI12" s="42"/>
      <c r="GJ12" s="42"/>
      <c r="GK12" s="42"/>
      <c r="GL12" s="42"/>
      <c r="GM12" s="42"/>
      <c r="GN12" s="42"/>
      <c r="GO12" s="42"/>
      <c r="GP12" s="42"/>
      <c r="GQ12" s="42"/>
      <c r="GR12" s="42"/>
      <c r="GS12" s="42"/>
      <c r="GT12" s="42"/>
      <c r="GU12" s="42"/>
      <c r="GV12" s="42"/>
      <c r="GW12" s="42"/>
      <c r="GX12" s="42"/>
      <c r="GY12" s="42"/>
      <c r="GZ12" s="42"/>
      <c r="HA12" s="42"/>
      <c r="HB12" s="42"/>
      <c r="HC12" s="42"/>
      <c r="HD12" s="42"/>
      <c r="HE12" s="42"/>
      <c r="HF12" s="42"/>
      <c r="HG12" s="42"/>
      <c r="HH12" s="42"/>
      <c r="HI12" s="42"/>
      <c r="HJ12" s="42"/>
      <c r="HK12" s="42"/>
      <c r="HL12" s="42"/>
      <c r="HM12" s="42"/>
      <c r="HN12" s="42"/>
      <c r="HO12" s="42"/>
      <c r="HP12" s="42"/>
      <c r="HQ12" s="42"/>
      <c r="HR12" s="42"/>
      <c r="HS12" s="42"/>
      <c r="HT12" s="42"/>
      <c r="HU12" s="42"/>
      <c r="HV12" s="42"/>
      <c r="HW12" s="42"/>
      <c r="HX12" s="42"/>
      <c r="HY12" s="42"/>
      <c r="HZ12" s="42"/>
      <c r="IA12" s="42"/>
      <c r="IB12" s="42"/>
      <c r="IC12" s="42"/>
      <c r="ID12" s="42"/>
      <c r="IE12" s="42"/>
      <c r="IF12" s="42"/>
      <c r="IG12" s="42"/>
      <c r="IH12" s="42"/>
      <c r="II12" s="42"/>
      <c r="IJ12" s="42"/>
      <c r="IK12" s="42"/>
      <c r="IL12" s="42"/>
      <c r="IM12" s="42"/>
      <c r="IN12" s="42"/>
      <c r="IO12" s="42"/>
      <c r="IP12" s="42"/>
      <c r="IQ12" s="42"/>
      <c r="IR12" s="42"/>
      <c r="IS12" s="42"/>
      <c r="IT12" s="42"/>
      <c r="IU12" s="42"/>
      <c r="IV12" s="42"/>
      <c r="IW12" s="42"/>
    </row>
    <row r="13" customFormat="false" ht="21" hidden="false" customHeight="true" outlineLevel="0" collapsed="false">
      <c r="A13" s="47" t="n">
        <v>1</v>
      </c>
      <c r="B13" s="69" t="s">
        <v>153</v>
      </c>
      <c r="C13" s="59" t="n">
        <v>2899</v>
      </c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42"/>
      <c r="FH13" s="42"/>
      <c r="FI13" s="42"/>
      <c r="FJ13" s="42"/>
      <c r="FK13" s="42"/>
      <c r="FL13" s="42"/>
      <c r="FM13" s="42"/>
      <c r="FN13" s="42"/>
      <c r="FO13" s="42"/>
      <c r="FP13" s="42"/>
      <c r="FQ13" s="42"/>
      <c r="FR13" s="42"/>
      <c r="FS13" s="42"/>
      <c r="FT13" s="42"/>
      <c r="FU13" s="42"/>
      <c r="FV13" s="42"/>
      <c r="FW13" s="42"/>
      <c r="FX13" s="42"/>
      <c r="FY13" s="42"/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42"/>
      <c r="GO13" s="42"/>
      <c r="GP13" s="42"/>
      <c r="GQ13" s="42"/>
      <c r="GR13" s="42"/>
      <c r="GS13" s="42"/>
      <c r="GT13" s="42"/>
      <c r="GU13" s="42"/>
      <c r="GV13" s="42"/>
      <c r="GW13" s="42"/>
      <c r="GX13" s="42"/>
      <c r="GY13" s="42"/>
      <c r="GZ13" s="42"/>
      <c r="HA13" s="42"/>
      <c r="HB13" s="42"/>
      <c r="HC13" s="42"/>
      <c r="HD13" s="42"/>
      <c r="HE13" s="42"/>
      <c r="HF13" s="42"/>
      <c r="HG13" s="42"/>
      <c r="HH13" s="42"/>
      <c r="HI13" s="42"/>
      <c r="HJ13" s="42"/>
      <c r="HK13" s="42"/>
      <c r="HL13" s="42"/>
      <c r="HM13" s="42"/>
      <c r="HN13" s="42"/>
      <c r="HO13" s="42"/>
      <c r="HP13" s="42"/>
      <c r="HQ13" s="42"/>
      <c r="HR13" s="42"/>
      <c r="HS13" s="42"/>
      <c r="HT13" s="42"/>
      <c r="HU13" s="42"/>
      <c r="HV13" s="42"/>
      <c r="HW13" s="42"/>
      <c r="HX13" s="42"/>
      <c r="HY13" s="42"/>
      <c r="HZ13" s="42"/>
      <c r="IA13" s="42"/>
      <c r="IB13" s="42"/>
      <c r="IC13" s="42"/>
      <c r="ID13" s="42"/>
      <c r="IE13" s="42"/>
      <c r="IF13" s="42"/>
      <c r="IG13" s="42"/>
      <c r="IH13" s="42"/>
      <c r="II13" s="42"/>
      <c r="IJ13" s="42"/>
      <c r="IK13" s="42"/>
      <c r="IL13" s="42"/>
      <c r="IM13" s="42"/>
      <c r="IN13" s="42"/>
      <c r="IO13" s="42"/>
      <c r="IP13" s="42"/>
      <c r="IQ13" s="42"/>
      <c r="IR13" s="42"/>
      <c r="IS13" s="42"/>
      <c r="IT13" s="42"/>
      <c r="IU13" s="42"/>
      <c r="IV13" s="42"/>
      <c r="IW13" s="42"/>
    </row>
    <row r="14" customFormat="false" ht="21" hidden="false" customHeight="true" outlineLevel="0" collapsed="false">
      <c r="A14" s="47" t="n">
        <v>1</v>
      </c>
      <c r="B14" s="69" t="s">
        <v>155</v>
      </c>
      <c r="C14" s="58" t="n">
        <v>2835</v>
      </c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2"/>
      <c r="FH14" s="42"/>
      <c r="FI14" s="42"/>
      <c r="FJ14" s="42"/>
      <c r="FK14" s="42"/>
      <c r="FL14" s="42"/>
      <c r="FM14" s="42"/>
      <c r="FN14" s="42"/>
      <c r="FO14" s="42"/>
      <c r="FP14" s="42"/>
      <c r="FQ14" s="42"/>
      <c r="FR14" s="42"/>
      <c r="FS14" s="42"/>
      <c r="FT14" s="42"/>
      <c r="FU14" s="42"/>
      <c r="FV14" s="42"/>
      <c r="FW14" s="42"/>
      <c r="FX14" s="42"/>
      <c r="FY14" s="42"/>
      <c r="FZ14" s="42"/>
      <c r="GA14" s="42"/>
      <c r="GB14" s="42"/>
      <c r="GC14" s="42"/>
      <c r="GD14" s="42"/>
      <c r="GE14" s="42"/>
      <c r="GF14" s="42"/>
      <c r="GG14" s="42"/>
      <c r="GH14" s="42"/>
      <c r="GI14" s="42"/>
      <c r="GJ14" s="42"/>
      <c r="GK14" s="42"/>
      <c r="GL14" s="42"/>
      <c r="GM14" s="42"/>
      <c r="GN14" s="42"/>
      <c r="GO14" s="42"/>
      <c r="GP14" s="42"/>
      <c r="GQ14" s="42"/>
      <c r="GR14" s="42"/>
      <c r="GS14" s="42"/>
      <c r="GT14" s="42"/>
      <c r="GU14" s="42"/>
      <c r="GV14" s="42"/>
      <c r="GW14" s="42"/>
      <c r="GX14" s="42"/>
      <c r="GY14" s="42"/>
      <c r="GZ14" s="42"/>
      <c r="HA14" s="42"/>
      <c r="HB14" s="42"/>
      <c r="HC14" s="42"/>
      <c r="HD14" s="42"/>
      <c r="HE14" s="42"/>
      <c r="HF14" s="42"/>
      <c r="HG14" s="42"/>
      <c r="HH14" s="42"/>
      <c r="HI14" s="42"/>
      <c r="HJ14" s="42"/>
      <c r="HK14" s="42"/>
      <c r="HL14" s="42"/>
      <c r="HM14" s="42"/>
      <c r="HN14" s="42"/>
      <c r="HO14" s="42"/>
      <c r="HP14" s="42"/>
      <c r="HQ14" s="42"/>
      <c r="HR14" s="42"/>
      <c r="HS14" s="42"/>
      <c r="HT14" s="42"/>
      <c r="HU14" s="42"/>
      <c r="HV14" s="42"/>
      <c r="HW14" s="42"/>
      <c r="HX14" s="42"/>
      <c r="HY14" s="42"/>
      <c r="HZ14" s="42"/>
      <c r="IA14" s="42"/>
      <c r="IB14" s="42"/>
      <c r="IC14" s="42"/>
      <c r="ID14" s="42"/>
      <c r="IE14" s="42"/>
      <c r="IF14" s="42"/>
      <c r="IG14" s="42"/>
      <c r="IH14" s="42"/>
      <c r="II14" s="42"/>
      <c r="IJ14" s="42"/>
      <c r="IK14" s="42"/>
      <c r="IL14" s="42"/>
      <c r="IM14" s="42"/>
      <c r="IN14" s="42"/>
      <c r="IO14" s="42"/>
      <c r="IP14" s="42"/>
      <c r="IQ14" s="42"/>
      <c r="IR14" s="42"/>
      <c r="IS14" s="42"/>
      <c r="IT14" s="42"/>
      <c r="IU14" s="42"/>
      <c r="IV14" s="42"/>
      <c r="IW14" s="42"/>
    </row>
    <row r="15" customFormat="false" ht="21" hidden="false" customHeight="true" outlineLevel="0" collapsed="false">
      <c r="A15" s="47" t="n">
        <v>1</v>
      </c>
      <c r="B15" s="69" t="s">
        <v>162</v>
      </c>
      <c r="C15" s="59" t="n">
        <v>2652</v>
      </c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2"/>
      <c r="EO15" s="42"/>
      <c r="EP15" s="42"/>
      <c r="EQ15" s="42"/>
      <c r="ER15" s="42"/>
      <c r="ES15" s="42"/>
      <c r="ET15" s="42"/>
      <c r="EU15" s="42"/>
      <c r="EV15" s="42"/>
      <c r="EW15" s="42"/>
      <c r="EX15" s="42"/>
      <c r="EY15" s="42"/>
      <c r="EZ15" s="42"/>
      <c r="FA15" s="42"/>
      <c r="FB15" s="42"/>
      <c r="FC15" s="42"/>
      <c r="FD15" s="42"/>
      <c r="FE15" s="42"/>
      <c r="FF15" s="42"/>
      <c r="FG15" s="42"/>
      <c r="FH15" s="42"/>
      <c r="FI15" s="42"/>
      <c r="FJ15" s="42"/>
      <c r="FK15" s="42"/>
      <c r="FL15" s="42"/>
      <c r="FM15" s="42"/>
      <c r="FN15" s="42"/>
      <c r="FO15" s="42"/>
      <c r="FP15" s="42"/>
      <c r="FQ15" s="42"/>
      <c r="FR15" s="42"/>
      <c r="FS15" s="42"/>
      <c r="FT15" s="42"/>
      <c r="FU15" s="42"/>
      <c r="FV15" s="42"/>
      <c r="FW15" s="42"/>
      <c r="FX15" s="42"/>
      <c r="FY15" s="42"/>
      <c r="FZ15" s="42"/>
      <c r="GA15" s="42"/>
      <c r="GB15" s="42"/>
      <c r="GC15" s="42"/>
      <c r="GD15" s="42"/>
      <c r="GE15" s="42"/>
      <c r="GF15" s="42"/>
      <c r="GG15" s="42"/>
      <c r="GH15" s="42"/>
      <c r="GI15" s="42"/>
      <c r="GJ15" s="42"/>
      <c r="GK15" s="42"/>
      <c r="GL15" s="42"/>
      <c r="GM15" s="42"/>
      <c r="GN15" s="42"/>
      <c r="GO15" s="42"/>
      <c r="GP15" s="42"/>
      <c r="GQ15" s="42"/>
      <c r="GR15" s="42"/>
      <c r="GS15" s="42"/>
      <c r="GT15" s="42"/>
      <c r="GU15" s="42"/>
      <c r="GV15" s="42"/>
      <c r="GW15" s="42"/>
      <c r="GX15" s="42"/>
      <c r="GY15" s="42"/>
      <c r="GZ15" s="42"/>
      <c r="HA15" s="42"/>
      <c r="HB15" s="42"/>
      <c r="HC15" s="42"/>
      <c r="HD15" s="42"/>
      <c r="HE15" s="42"/>
      <c r="HF15" s="42"/>
      <c r="HG15" s="42"/>
      <c r="HH15" s="42"/>
      <c r="HI15" s="42"/>
      <c r="HJ15" s="42"/>
      <c r="HK15" s="42"/>
      <c r="HL15" s="42"/>
      <c r="HM15" s="42"/>
      <c r="HN15" s="42"/>
      <c r="HO15" s="42"/>
      <c r="HP15" s="42"/>
      <c r="HQ15" s="42"/>
      <c r="HR15" s="42"/>
      <c r="HS15" s="42"/>
      <c r="HT15" s="42"/>
      <c r="HU15" s="42"/>
      <c r="HV15" s="42"/>
      <c r="HW15" s="42"/>
      <c r="HX15" s="42"/>
      <c r="HY15" s="42"/>
      <c r="HZ15" s="42"/>
      <c r="IA15" s="42"/>
      <c r="IB15" s="42"/>
      <c r="IC15" s="42"/>
      <c r="ID15" s="42"/>
      <c r="IE15" s="42"/>
      <c r="IF15" s="42"/>
      <c r="IG15" s="42"/>
      <c r="IH15" s="42"/>
      <c r="II15" s="42"/>
      <c r="IJ15" s="42"/>
      <c r="IK15" s="42"/>
      <c r="IL15" s="42"/>
      <c r="IM15" s="42"/>
      <c r="IN15" s="42"/>
      <c r="IO15" s="42"/>
      <c r="IP15" s="42"/>
      <c r="IQ15" s="42"/>
      <c r="IR15" s="42"/>
      <c r="IS15" s="42"/>
      <c r="IT15" s="42"/>
      <c r="IU15" s="42"/>
      <c r="IV15" s="42"/>
      <c r="IW15" s="42"/>
    </row>
    <row r="16" customFormat="false" ht="21" hidden="false" customHeight="true" outlineLevel="0" collapsed="false">
      <c r="A16" s="47" t="n">
        <v>1</v>
      </c>
      <c r="B16" s="69" t="s">
        <v>157</v>
      </c>
      <c r="C16" s="58" t="n">
        <v>2419</v>
      </c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2"/>
      <c r="DX16" s="42"/>
      <c r="DY16" s="42"/>
      <c r="DZ16" s="42"/>
      <c r="EA16" s="42"/>
      <c r="EB16" s="42"/>
      <c r="EC16" s="42"/>
      <c r="ED16" s="42"/>
      <c r="EE16" s="42"/>
      <c r="EF16" s="42"/>
      <c r="EG16" s="42"/>
      <c r="EH16" s="42"/>
      <c r="EI16" s="42"/>
      <c r="EJ16" s="42"/>
      <c r="EK16" s="42"/>
      <c r="EL16" s="42"/>
      <c r="EM16" s="42"/>
      <c r="EN16" s="42"/>
      <c r="EO16" s="42"/>
      <c r="EP16" s="42"/>
      <c r="EQ16" s="42"/>
      <c r="ER16" s="42"/>
      <c r="ES16" s="42"/>
      <c r="ET16" s="42"/>
      <c r="EU16" s="42"/>
      <c r="EV16" s="42"/>
      <c r="EW16" s="42"/>
      <c r="EX16" s="42"/>
      <c r="EY16" s="42"/>
      <c r="EZ16" s="42"/>
      <c r="FA16" s="42"/>
      <c r="FB16" s="42"/>
      <c r="FC16" s="42"/>
      <c r="FD16" s="42"/>
      <c r="FE16" s="42"/>
      <c r="FF16" s="42"/>
      <c r="FG16" s="42"/>
      <c r="FH16" s="42"/>
      <c r="FI16" s="42"/>
      <c r="FJ16" s="42"/>
      <c r="FK16" s="42"/>
      <c r="FL16" s="42"/>
      <c r="FM16" s="42"/>
      <c r="FN16" s="42"/>
      <c r="FO16" s="42"/>
      <c r="FP16" s="42"/>
      <c r="FQ16" s="42"/>
      <c r="FR16" s="42"/>
      <c r="FS16" s="42"/>
      <c r="FT16" s="42"/>
      <c r="FU16" s="42"/>
      <c r="FV16" s="42"/>
      <c r="FW16" s="42"/>
      <c r="FX16" s="42"/>
      <c r="FY16" s="42"/>
      <c r="FZ16" s="42"/>
      <c r="GA16" s="42"/>
      <c r="GB16" s="42"/>
      <c r="GC16" s="42"/>
      <c r="GD16" s="42"/>
      <c r="GE16" s="42"/>
      <c r="GF16" s="42"/>
      <c r="GG16" s="42"/>
      <c r="GH16" s="42"/>
      <c r="GI16" s="42"/>
      <c r="GJ16" s="42"/>
      <c r="GK16" s="42"/>
      <c r="GL16" s="42"/>
      <c r="GM16" s="42"/>
      <c r="GN16" s="42"/>
      <c r="GO16" s="42"/>
      <c r="GP16" s="42"/>
      <c r="GQ16" s="42"/>
      <c r="GR16" s="42"/>
      <c r="GS16" s="42"/>
      <c r="GT16" s="42"/>
      <c r="GU16" s="42"/>
      <c r="GV16" s="42"/>
      <c r="GW16" s="42"/>
      <c r="GX16" s="42"/>
      <c r="GY16" s="42"/>
      <c r="GZ16" s="42"/>
      <c r="HA16" s="42"/>
      <c r="HB16" s="42"/>
      <c r="HC16" s="42"/>
      <c r="HD16" s="42"/>
      <c r="HE16" s="42"/>
      <c r="HF16" s="42"/>
      <c r="HG16" s="42"/>
      <c r="HH16" s="42"/>
      <c r="HI16" s="42"/>
      <c r="HJ16" s="42"/>
      <c r="HK16" s="42"/>
      <c r="HL16" s="42"/>
      <c r="HM16" s="42"/>
      <c r="HN16" s="42"/>
      <c r="HO16" s="42"/>
      <c r="HP16" s="42"/>
      <c r="HQ16" s="42"/>
      <c r="HR16" s="42"/>
      <c r="HS16" s="42"/>
      <c r="HT16" s="42"/>
      <c r="HU16" s="42"/>
      <c r="HV16" s="42"/>
      <c r="HW16" s="42"/>
      <c r="HX16" s="42"/>
      <c r="HY16" s="42"/>
      <c r="HZ16" s="42"/>
      <c r="IA16" s="42"/>
      <c r="IB16" s="42"/>
      <c r="IC16" s="42"/>
      <c r="ID16" s="42"/>
      <c r="IE16" s="42"/>
      <c r="IF16" s="42"/>
      <c r="IG16" s="42"/>
      <c r="IH16" s="42"/>
      <c r="II16" s="42"/>
      <c r="IJ16" s="42"/>
      <c r="IK16" s="42"/>
      <c r="IL16" s="42"/>
      <c r="IM16" s="42"/>
      <c r="IN16" s="42"/>
      <c r="IO16" s="42"/>
      <c r="IP16" s="42"/>
      <c r="IQ16" s="42"/>
      <c r="IR16" s="42"/>
      <c r="IS16" s="42"/>
      <c r="IT16" s="42"/>
      <c r="IU16" s="42"/>
      <c r="IV16" s="42"/>
      <c r="IW16" s="42"/>
    </row>
    <row r="17" customFormat="false" ht="21" hidden="false" customHeight="true" outlineLevel="0" collapsed="false">
      <c r="A17" s="47" t="n">
        <v>1</v>
      </c>
      <c r="B17" s="69" t="s">
        <v>154</v>
      </c>
      <c r="C17" s="59" t="n">
        <v>2072</v>
      </c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  <c r="EO17" s="42"/>
      <c r="EP17" s="42"/>
      <c r="EQ17" s="42"/>
      <c r="ER17" s="42"/>
      <c r="ES17" s="42"/>
      <c r="ET17" s="42"/>
      <c r="EU17" s="42"/>
      <c r="EV17" s="42"/>
      <c r="EW17" s="42"/>
      <c r="EX17" s="42"/>
      <c r="EY17" s="42"/>
      <c r="EZ17" s="42"/>
      <c r="FA17" s="42"/>
      <c r="FB17" s="42"/>
      <c r="FC17" s="42"/>
      <c r="FD17" s="42"/>
      <c r="FE17" s="42"/>
      <c r="FF17" s="42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/>
      <c r="GL17" s="42"/>
      <c r="GM17" s="42"/>
      <c r="GN17" s="42"/>
      <c r="GO17" s="42"/>
      <c r="GP17" s="42"/>
      <c r="GQ17" s="42"/>
      <c r="GR17" s="42"/>
      <c r="GS17" s="42"/>
      <c r="GT17" s="42"/>
      <c r="GU17" s="42"/>
      <c r="GV17" s="42"/>
      <c r="GW17" s="42"/>
      <c r="GX17" s="42"/>
      <c r="GY17" s="42"/>
      <c r="GZ17" s="42"/>
      <c r="HA17" s="42"/>
      <c r="HB17" s="42"/>
      <c r="HC17" s="42"/>
      <c r="HD17" s="42"/>
      <c r="HE17" s="42"/>
      <c r="HF17" s="42"/>
      <c r="HG17" s="42"/>
      <c r="HH17" s="42"/>
      <c r="HI17" s="42"/>
      <c r="HJ17" s="42"/>
      <c r="HK17" s="42"/>
      <c r="HL17" s="42"/>
      <c r="HM17" s="42"/>
      <c r="HN17" s="42"/>
      <c r="HO17" s="42"/>
      <c r="HP17" s="42"/>
      <c r="HQ17" s="42"/>
      <c r="HR17" s="42"/>
      <c r="HS17" s="42"/>
      <c r="HT17" s="42"/>
      <c r="HU17" s="42"/>
      <c r="HV17" s="42"/>
      <c r="HW17" s="42"/>
      <c r="HX17" s="42"/>
      <c r="HY17" s="42"/>
      <c r="HZ17" s="42"/>
      <c r="IA17" s="42"/>
      <c r="IB17" s="42"/>
      <c r="IC17" s="42"/>
      <c r="ID17" s="42"/>
      <c r="IE17" s="42"/>
      <c r="IF17" s="42"/>
      <c r="IG17" s="42"/>
      <c r="IH17" s="42"/>
      <c r="II17" s="42"/>
      <c r="IJ17" s="42"/>
      <c r="IK17" s="42"/>
      <c r="IL17" s="42"/>
      <c r="IM17" s="42"/>
      <c r="IN17" s="42"/>
      <c r="IO17" s="42"/>
      <c r="IP17" s="42"/>
      <c r="IQ17" s="42"/>
      <c r="IR17" s="42"/>
      <c r="IS17" s="42"/>
      <c r="IT17" s="42"/>
      <c r="IU17" s="42"/>
      <c r="IV17" s="42"/>
      <c r="IW17" s="42"/>
    </row>
    <row r="18" customFormat="false" ht="21" hidden="false" customHeight="true" outlineLevel="0" collapsed="false">
      <c r="A18" s="72" t="s">
        <v>100</v>
      </c>
      <c r="B18" s="72"/>
      <c r="C18" s="92" t="n">
        <f aca="false">SUM(C8:C17)</f>
        <v>47622</v>
      </c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 s="42"/>
      <c r="DT18" s="42"/>
      <c r="DU18" s="42"/>
      <c r="DV18" s="42"/>
      <c r="DW18" s="42"/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/>
      <c r="EN18" s="42"/>
      <c r="EO18" s="42"/>
      <c r="EP18" s="42"/>
      <c r="EQ18" s="42"/>
      <c r="ER18" s="42"/>
      <c r="ES18" s="42"/>
      <c r="ET18" s="42"/>
      <c r="EU18" s="42"/>
      <c r="EV18" s="42"/>
      <c r="EW18" s="42"/>
      <c r="EX18" s="42"/>
      <c r="EY18" s="42"/>
      <c r="EZ18" s="42"/>
      <c r="FA18" s="42"/>
      <c r="FB18" s="42"/>
      <c r="FC18" s="42"/>
      <c r="FD18" s="42"/>
      <c r="FE18" s="42"/>
      <c r="FF18" s="42"/>
      <c r="FG18" s="42"/>
      <c r="FH18" s="42"/>
      <c r="FI18" s="42"/>
      <c r="FJ18" s="42"/>
      <c r="FK18" s="42"/>
      <c r="FL18" s="42"/>
      <c r="FM18" s="42"/>
      <c r="FN18" s="42"/>
      <c r="FO18" s="42"/>
      <c r="FP18" s="42"/>
      <c r="FQ18" s="42"/>
      <c r="FR18" s="42"/>
      <c r="FS18" s="42"/>
      <c r="FT18" s="42"/>
      <c r="FU18" s="42"/>
      <c r="FV18" s="42"/>
      <c r="FW18" s="42"/>
      <c r="FX18" s="42"/>
      <c r="FY18" s="42"/>
      <c r="FZ18" s="42"/>
      <c r="GA18" s="42"/>
      <c r="GB18" s="42"/>
      <c r="GC18" s="42"/>
      <c r="GD18" s="42"/>
      <c r="GE18" s="42"/>
      <c r="GF18" s="42"/>
      <c r="GG18" s="42"/>
      <c r="GH18" s="42"/>
      <c r="GI18" s="42"/>
      <c r="GJ18" s="42"/>
      <c r="GK18" s="42"/>
      <c r="GL18" s="42"/>
      <c r="GM18" s="42"/>
      <c r="GN18" s="42"/>
      <c r="GO18" s="42"/>
      <c r="GP18" s="42"/>
      <c r="GQ18" s="42"/>
      <c r="GR18" s="42"/>
      <c r="GS18" s="42"/>
      <c r="GT18" s="42"/>
      <c r="GU18" s="42"/>
      <c r="GV18" s="42"/>
      <c r="GW18" s="42"/>
      <c r="GX18" s="42"/>
      <c r="GY18" s="42"/>
      <c r="GZ18" s="42"/>
      <c r="HA18" s="42"/>
      <c r="HB18" s="42"/>
      <c r="HC18" s="42"/>
      <c r="HD18" s="42"/>
      <c r="HE18" s="42"/>
      <c r="HF18" s="42"/>
      <c r="HG18" s="42"/>
      <c r="HH18" s="42"/>
      <c r="HI18" s="42"/>
      <c r="HJ18" s="42"/>
      <c r="HK18" s="42"/>
      <c r="HL18" s="42"/>
      <c r="HM18" s="42"/>
      <c r="HN18" s="42"/>
      <c r="HO18" s="42"/>
      <c r="HP18" s="42"/>
      <c r="HQ18" s="42"/>
      <c r="HR18" s="42"/>
      <c r="HS18" s="42"/>
      <c r="HT18" s="42"/>
      <c r="HU18" s="42"/>
      <c r="HV18" s="42"/>
      <c r="HW18" s="42"/>
      <c r="HX18" s="42"/>
      <c r="HY18" s="42"/>
      <c r="HZ18" s="42"/>
      <c r="IA18" s="42"/>
      <c r="IB18" s="42"/>
      <c r="IC18" s="42"/>
      <c r="ID18" s="42"/>
      <c r="IE18" s="42"/>
      <c r="IF18" s="42"/>
      <c r="IG18" s="42"/>
      <c r="IH18" s="42"/>
      <c r="II18" s="42"/>
      <c r="IJ18" s="42"/>
      <c r="IK18" s="42"/>
      <c r="IL18" s="42"/>
      <c r="IM18" s="42"/>
      <c r="IN18" s="42"/>
      <c r="IO18" s="42"/>
      <c r="IP18" s="42"/>
      <c r="IQ18" s="42"/>
      <c r="IR18" s="42"/>
      <c r="IS18" s="42"/>
      <c r="IT18" s="42"/>
      <c r="IU18" s="42"/>
      <c r="IV18" s="42"/>
      <c r="IW18" s="42"/>
    </row>
    <row r="19" customFormat="false" ht="21" hidden="false" customHeight="true" outlineLevel="0" collapsed="false">
      <c r="A19" s="33" t="s">
        <v>161</v>
      </c>
      <c r="B19" s="33"/>
      <c r="C19" s="93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/>
      <c r="DI19" s="42"/>
      <c r="DJ19" s="42"/>
      <c r="DK19" s="42"/>
      <c r="DL19" s="42"/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42"/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42"/>
      <c r="FH19" s="42"/>
      <c r="FI19" s="42"/>
      <c r="FJ19" s="42"/>
      <c r="FK19" s="42"/>
      <c r="FL19" s="42"/>
      <c r="FM19" s="42"/>
      <c r="FN19" s="42"/>
      <c r="FO19" s="42"/>
      <c r="FP19" s="42"/>
      <c r="FQ19" s="42"/>
      <c r="FR19" s="42"/>
      <c r="FS19" s="42"/>
      <c r="FT19" s="42"/>
      <c r="FU19" s="42"/>
      <c r="FV19" s="42"/>
      <c r="FW19" s="42"/>
      <c r="FX19" s="42"/>
      <c r="FY19" s="42"/>
      <c r="FZ19" s="42"/>
      <c r="GA19" s="42"/>
      <c r="GB19" s="42"/>
      <c r="GC19" s="42"/>
      <c r="GD19" s="42"/>
      <c r="GE19" s="42"/>
      <c r="GF19" s="42"/>
      <c r="GG19" s="42"/>
      <c r="GH19" s="42"/>
      <c r="GI19" s="42"/>
      <c r="GJ19" s="42"/>
      <c r="GK19" s="42"/>
      <c r="GL19" s="42"/>
      <c r="GM19" s="42"/>
      <c r="GN19" s="42"/>
      <c r="GO19" s="42"/>
      <c r="GP19" s="42"/>
      <c r="GQ19" s="42"/>
      <c r="GR19" s="42"/>
      <c r="GS19" s="42"/>
      <c r="GT19" s="42"/>
      <c r="GU19" s="42"/>
      <c r="GV19" s="42"/>
      <c r="GW19" s="42"/>
      <c r="GX19" s="42"/>
      <c r="GY19" s="42"/>
      <c r="GZ19" s="42"/>
      <c r="HA19" s="42"/>
      <c r="HB19" s="42"/>
      <c r="HC19" s="42"/>
      <c r="HD19" s="42"/>
      <c r="HE19" s="42"/>
      <c r="HF19" s="42"/>
      <c r="HG19" s="42"/>
      <c r="HH19" s="42"/>
      <c r="HI19" s="42"/>
      <c r="HJ19" s="42"/>
      <c r="HK19" s="42"/>
      <c r="HL19" s="42"/>
      <c r="HM19" s="42"/>
      <c r="HN19" s="42"/>
      <c r="HO19" s="42"/>
      <c r="HP19" s="42"/>
      <c r="HQ19" s="42"/>
      <c r="HR19" s="42"/>
      <c r="HS19" s="42"/>
      <c r="HT19" s="42"/>
      <c r="HU19" s="42"/>
      <c r="HV19" s="42"/>
      <c r="HW19" s="42"/>
      <c r="HX19" s="42"/>
      <c r="HY19" s="42"/>
      <c r="HZ19" s="42"/>
      <c r="IA19" s="42"/>
      <c r="IB19" s="42"/>
      <c r="IC19" s="42"/>
      <c r="ID19" s="42"/>
      <c r="IE19" s="42"/>
      <c r="IF19" s="42"/>
      <c r="IG19" s="42"/>
      <c r="IH19" s="42"/>
      <c r="II19" s="42"/>
      <c r="IJ19" s="42"/>
      <c r="IK19" s="42"/>
      <c r="IL19" s="42"/>
      <c r="IM19" s="42"/>
      <c r="IN19" s="42"/>
      <c r="IO19" s="42"/>
      <c r="IP19" s="42"/>
      <c r="IQ19" s="42"/>
      <c r="IR19" s="42"/>
      <c r="IS19" s="42"/>
      <c r="IT19" s="42"/>
      <c r="IU19" s="42"/>
      <c r="IV19" s="42"/>
      <c r="IW19" s="42"/>
    </row>
    <row r="20" customFormat="false" ht="21" hidden="false" customHeight="true" outlineLevel="0" collapsed="false">
      <c r="A20" s="39"/>
      <c r="B20" s="39"/>
      <c r="C20" s="41" t="s">
        <v>83</v>
      </c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2"/>
      <c r="EE20" s="42"/>
      <c r="EF20" s="42"/>
      <c r="EG20" s="42"/>
      <c r="EH20" s="42"/>
      <c r="EI20" s="42"/>
      <c r="EJ20" s="42"/>
      <c r="EK20" s="42"/>
      <c r="EL20" s="42"/>
      <c r="EM20" s="42"/>
      <c r="EN20" s="42"/>
      <c r="EO20" s="42"/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2"/>
      <c r="FA20" s="42"/>
      <c r="FB20" s="42"/>
      <c r="FC20" s="42"/>
      <c r="FD20" s="42"/>
      <c r="FE20" s="42"/>
      <c r="FF20" s="42"/>
      <c r="FG20" s="42"/>
      <c r="FH20" s="42"/>
      <c r="FI20" s="42"/>
      <c r="FJ20" s="42"/>
      <c r="FK20" s="42"/>
      <c r="FL20" s="42"/>
      <c r="FM20" s="42"/>
      <c r="FN20" s="42"/>
      <c r="FO20" s="42"/>
      <c r="FP20" s="42"/>
      <c r="FQ20" s="42"/>
      <c r="FR20" s="42"/>
      <c r="FS20" s="42"/>
      <c r="FT20" s="42"/>
      <c r="FU20" s="42"/>
      <c r="FV20" s="42"/>
      <c r="FW20" s="42"/>
      <c r="FX20" s="42"/>
      <c r="FY20" s="42"/>
      <c r="FZ20" s="42"/>
      <c r="GA20" s="42"/>
      <c r="GB20" s="42"/>
      <c r="GC20" s="42"/>
      <c r="GD20" s="42"/>
      <c r="GE20" s="42"/>
      <c r="GF20" s="42"/>
      <c r="GG20" s="42"/>
      <c r="GH20" s="42"/>
      <c r="GI20" s="42"/>
      <c r="GJ20" s="42"/>
      <c r="GK20" s="42"/>
      <c r="GL20" s="42"/>
      <c r="GM20" s="42"/>
      <c r="GN20" s="42"/>
      <c r="GO20" s="42"/>
      <c r="GP20" s="42"/>
      <c r="GQ20" s="42"/>
      <c r="GR20" s="42"/>
      <c r="GS20" s="42"/>
      <c r="GT20" s="42"/>
      <c r="GU20" s="42"/>
      <c r="GV20" s="42"/>
      <c r="GW20" s="42"/>
      <c r="GX20" s="42"/>
      <c r="GY20" s="42"/>
      <c r="GZ20" s="42"/>
      <c r="HA20" s="42"/>
      <c r="HB20" s="42"/>
      <c r="HC20" s="42"/>
      <c r="HD20" s="42"/>
      <c r="HE20" s="42"/>
      <c r="HF20" s="42"/>
      <c r="HG20" s="42"/>
      <c r="HH20" s="42"/>
      <c r="HI20" s="42"/>
      <c r="HJ20" s="42"/>
      <c r="HK20" s="42"/>
      <c r="HL20" s="42"/>
      <c r="HM20" s="42"/>
      <c r="HN20" s="42"/>
      <c r="HO20" s="42"/>
      <c r="HP20" s="42"/>
      <c r="HQ20" s="42"/>
      <c r="HR20" s="42"/>
      <c r="HS20" s="42"/>
      <c r="HT20" s="42"/>
      <c r="HU20" s="42"/>
      <c r="HV20" s="42"/>
      <c r="HW20" s="42"/>
      <c r="HX20" s="42"/>
      <c r="HY20" s="42"/>
      <c r="HZ20" s="42"/>
      <c r="IA20" s="42"/>
      <c r="IB20" s="42"/>
      <c r="IC20" s="42"/>
      <c r="ID20" s="42"/>
      <c r="IE20" s="42"/>
      <c r="IF20" s="42"/>
      <c r="IG20" s="42"/>
      <c r="IH20" s="42"/>
      <c r="II20" s="42"/>
      <c r="IJ20" s="42"/>
      <c r="IK20" s="42"/>
      <c r="IL20" s="42"/>
      <c r="IM20" s="42"/>
      <c r="IN20" s="42"/>
      <c r="IO20" s="42"/>
      <c r="IP20" s="42"/>
      <c r="IQ20" s="42"/>
      <c r="IR20" s="42"/>
      <c r="IS20" s="42"/>
      <c r="IT20" s="42"/>
      <c r="IU20" s="42"/>
      <c r="IV20" s="42"/>
      <c r="IW20" s="42"/>
    </row>
    <row r="21" customFormat="false" ht="22.2" hidden="false" customHeight="true" outlineLevel="0" collapsed="false"/>
  </sheetData>
  <mergeCells count="9">
    <mergeCell ref="A3:C3"/>
    <mergeCell ref="A4:C4"/>
    <mergeCell ref="B5:C5"/>
    <mergeCell ref="A6:A7"/>
    <mergeCell ref="B6:B7"/>
    <mergeCell ref="C6:C7"/>
    <mergeCell ref="A18:B18"/>
    <mergeCell ref="A19:B19"/>
    <mergeCell ref="A20:B20"/>
  </mergeCells>
  <hyperlinks>
    <hyperlink ref="C20" location="'Index '!A1" display="Back to index"/>
  </hyperlinks>
  <printOptions headings="true" gridLines="false" gridLinesSet="true" horizontalCentered="false" verticalCentered="false"/>
  <pageMargins left="0.7" right="0.7" top="0.75" bottom="0.75" header="0.511811023622047" footer="0.511811023622047"/>
  <pageSetup paperSize="9" scale="1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1"/>
  <sheetViews>
    <sheetView showFormulas="false" showGridLines="false" showRowColHeaders="true" showZeros="true" rightToLeft="false" tabSelected="false" showOutlineSymbols="true" defaultGridColor="true" view="pageBreakPreview" topLeftCell="A1" colorId="64" zoomScale="122" zoomScaleNormal="100" zoomScalePageLayoutView="122" workbookViewId="0">
      <selection pane="topLeft" activeCell="C1" activeCellId="0" sqref="C1"/>
    </sheetView>
  </sheetViews>
  <sheetFormatPr defaultColWidth="9.1015625" defaultRowHeight="13.2" customHeight="false" zeroHeight="false" outlineLevelRow="0" outlineLevelCol="0"/>
  <cols>
    <col collapsed="false" customWidth="false" hidden="false" outlineLevel="0" max="1" min="1" style="7" width="9.1"/>
    <col collapsed="false" customWidth="true" hidden="false" outlineLevel="0" max="2" min="2" style="16" width="20.66"/>
    <col collapsed="false" customWidth="true" hidden="false" outlineLevel="0" max="3" min="3" style="7" width="32.66"/>
    <col collapsed="false" customWidth="true" hidden="false" outlineLevel="0" max="4" min="4" style="42" width="10.87"/>
    <col collapsed="false" customWidth="false" hidden="false" outlineLevel="0" max="5" min="5" style="42" width="9.1"/>
    <col collapsed="false" customWidth="true" hidden="false" outlineLevel="0" max="6" min="6" style="42" width="11.66"/>
    <col collapsed="false" customWidth="true" hidden="false" outlineLevel="0" max="7" min="7" style="42" width="14.1"/>
    <col collapsed="false" customWidth="true" hidden="false" outlineLevel="0" max="8" min="8" style="42" width="11.43"/>
    <col collapsed="false" customWidth="false" hidden="false" outlineLevel="0" max="9" min="9" style="42" width="9.1"/>
    <col collapsed="false" customWidth="true" hidden="false" outlineLevel="0" max="10" min="10" style="7" width="0.33"/>
    <col collapsed="false" customWidth="false" hidden="true" outlineLevel="0" max="12" min="11" style="7" width="9.1"/>
    <col collapsed="false" customWidth="false" hidden="false" outlineLevel="0" max="257" min="13" style="7" width="9.1"/>
  </cols>
  <sheetData>
    <row r="1" customFormat="false" ht="21" hidden="false" customHeight="true" outlineLevel="0" collapsed="false">
      <c r="C1" s="91" t="s">
        <v>17</v>
      </c>
    </row>
    <row r="2" customFormat="false" ht="21" hidden="false" customHeight="true" outlineLevel="0" collapsed="false"/>
    <row r="3" customFormat="false" ht="21" hidden="false" customHeight="true" outlineLevel="0" collapsed="false">
      <c r="A3" s="18"/>
      <c r="B3" s="18"/>
      <c r="C3" s="18"/>
    </row>
    <row r="4" customFormat="false" ht="54.75" hidden="false" customHeight="true" outlineLevel="0" collapsed="false">
      <c r="A4" s="20" t="s">
        <v>165</v>
      </c>
      <c r="B4" s="20"/>
      <c r="C4" s="20"/>
    </row>
    <row r="5" customFormat="false" ht="21" hidden="false" customHeight="true" outlineLevel="0" collapsed="false">
      <c r="B5" s="21"/>
      <c r="C5" s="21"/>
    </row>
    <row r="6" customFormat="false" ht="21" hidden="false" customHeight="true" outlineLevel="0" collapsed="false">
      <c r="A6" s="79" t="s">
        <v>19</v>
      </c>
      <c r="B6" s="45" t="s">
        <v>149</v>
      </c>
      <c r="C6" s="45" t="s">
        <v>150</v>
      </c>
    </row>
    <row r="7" customFormat="false" ht="21" hidden="false" customHeight="true" outlineLevel="0" collapsed="false">
      <c r="A7" s="79" t="n">
        <v>1</v>
      </c>
      <c r="B7" s="45"/>
      <c r="C7" s="45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  <c r="EY7" s="42"/>
      <c r="EZ7" s="42"/>
      <c r="FA7" s="42"/>
      <c r="FB7" s="42"/>
      <c r="FC7" s="42"/>
      <c r="FD7" s="42"/>
      <c r="FE7" s="42"/>
      <c r="FF7" s="42"/>
      <c r="FG7" s="42"/>
      <c r="FH7" s="42"/>
      <c r="FI7" s="42"/>
      <c r="FJ7" s="42"/>
      <c r="FK7" s="42"/>
      <c r="FL7" s="42"/>
      <c r="FM7" s="42"/>
      <c r="FN7" s="42"/>
      <c r="FO7" s="42"/>
      <c r="FP7" s="42"/>
      <c r="FQ7" s="42"/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</row>
    <row r="8" customFormat="false" ht="21" hidden="false" customHeight="true" outlineLevel="0" collapsed="false">
      <c r="A8" s="47" t="n">
        <v>1</v>
      </c>
      <c r="B8" s="69" t="s">
        <v>151</v>
      </c>
      <c r="C8" s="58" t="n">
        <v>13177</v>
      </c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  <c r="EY8" s="42"/>
      <c r="EZ8" s="42"/>
      <c r="FA8" s="42"/>
      <c r="FB8" s="42"/>
      <c r="FC8" s="42"/>
      <c r="FD8" s="42"/>
      <c r="FE8" s="42"/>
      <c r="FF8" s="42"/>
      <c r="FG8" s="42"/>
      <c r="FH8" s="42"/>
      <c r="FI8" s="42"/>
      <c r="FJ8" s="42"/>
      <c r="FK8" s="42"/>
      <c r="FL8" s="42"/>
      <c r="FM8" s="42"/>
      <c r="FN8" s="42"/>
      <c r="FO8" s="42"/>
      <c r="FP8" s="42"/>
      <c r="FQ8" s="42"/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</row>
    <row r="9" customFormat="false" ht="21" hidden="false" customHeight="true" outlineLevel="0" collapsed="false">
      <c r="A9" s="47" t="n">
        <v>1</v>
      </c>
      <c r="B9" s="69" t="s">
        <v>152</v>
      </c>
      <c r="C9" s="59" t="n">
        <v>9618</v>
      </c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  <c r="EY9" s="42"/>
      <c r="EZ9" s="42"/>
      <c r="FA9" s="42"/>
      <c r="FB9" s="42"/>
      <c r="FC9" s="42"/>
      <c r="FD9" s="42"/>
      <c r="FE9" s="42"/>
      <c r="FF9" s="42"/>
      <c r="FG9" s="42"/>
      <c r="FH9" s="42"/>
      <c r="FI9" s="42"/>
      <c r="FJ9" s="42"/>
      <c r="FK9" s="42"/>
      <c r="FL9" s="42"/>
      <c r="FM9" s="42"/>
      <c r="FN9" s="42"/>
      <c r="FO9" s="42"/>
      <c r="FP9" s="42"/>
      <c r="FQ9" s="42"/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</row>
    <row r="10" customFormat="false" ht="21" hidden="false" customHeight="true" outlineLevel="0" collapsed="false">
      <c r="A10" s="47" t="n">
        <v>1</v>
      </c>
      <c r="B10" s="69" t="s">
        <v>156</v>
      </c>
      <c r="C10" s="58" t="n">
        <v>4421</v>
      </c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2"/>
      <c r="FA10" s="42"/>
      <c r="FB10" s="42"/>
      <c r="FC10" s="42"/>
      <c r="FD10" s="42"/>
      <c r="FE10" s="42"/>
      <c r="FF10" s="42"/>
      <c r="FG10" s="42"/>
      <c r="FH10" s="42"/>
      <c r="FI10" s="42"/>
      <c r="FJ10" s="42"/>
      <c r="FK10" s="42"/>
      <c r="FL10" s="42"/>
      <c r="FM10" s="42"/>
      <c r="FN10" s="42"/>
      <c r="FO10" s="42"/>
      <c r="FP10" s="42"/>
      <c r="FQ10" s="42"/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  <c r="IU10" s="42"/>
      <c r="IV10" s="42"/>
      <c r="IW10" s="42"/>
    </row>
    <row r="11" customFormat="false" ht="21" hidden="false" customHeight="true" outlineLevel="0" collapsed="false">
      <c r="A11" s="47" t="n">
        <v>1</v>
      </c>
      <c r="B11" s="69" t="s">
        <v>160</v>
      </c>
      <c r="C11" s="59" t="n">
        <v>4135</v>
      </c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2"/>
      <c r="FG11" s="42"/>
      <c r="FH11" s="42"/>
      <c r="FI11" s="42"/>
      <c r="FJ11" s="42"/>
      <c r="FK11" s="42"/>
      <c r="FL11" s="42"/>
      <c r="FM11" s="42"/>
      <c r="FN11" s="42"/>
      <c r="FO11" s="42"/>
      <c r="FP11" s="42"/>
      <c r="FQ11" s="42"/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2"/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2"/>
      <c r="IR11" s="42"/>
      <c r="IS11" s="42"/>
      <c r="IT11" s="42"/>
      <c r="IU11" s="42"/>
      <c r="IV11" s="42"/>
      <c r="IW11" s="42"/>
    </row>
    <row r="12" customFormat="false" ht="21" hidden="false" customHeight="true" outlineLevel="0" collapsed="false">
      <c r="A12" s="47" t="n">
        <v>1</v>
      </c>
      <c r="B12" s="69" t="s">
        <v>159</v>
      </c>
      <c r="C12" s="58" t="n">
        <v>3025</v>
      </c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42"/>
      <c r="FH12" s="42"/>
      <c r="FI12" s="42"/>
      <c r="FJ12" s="42"/>
      <c r="FK12" s="42"/>
      <c r="FL12" s="42"/>
      <c r="FM12" s="42"/>
      <c r="FN12" s="42"/>
      <c r="FO12" s="42"/>
      <c r="FP12" s="42"/>
      <c r="FQ12" s="42"/>
      <c r="FR12" s="42"/>
      <c r="FS12" s="42"/>
      <c r="FT12" s="42"/>
      <c r="FU12" s="42"/>
      <c r="FV12" s="42"/>
      <c r="FW12" s="42"/>
      <c r="FX12" s="42"/>
      <c r="FY12" s="42"/>
      <c r="FZ12" s="42"/>
      <c r="GA12" s="42"/>
      <c r="GB12" s="42"/>
      <c r="GC12" s="42"/>
      <c r="GD12" s="42"/>
      <c r="GE12" s="42"/>
      <c r="GF12" s="42"/>
      <c r="GG12" s="42"/>
      <c r="GH12" s="42"/>
      <c r="GI12" s="42"/>
      <c r="GJ12" s="42"/>
      <c r="GK12" s="42"/>
      <c r="GL12" s="42"/>
      <c r="GM12" s="42"/>
      <c r="GN12" s="42"/>
      <c r="GO12" s="42"/>
      <c r="GP12" s="42"/>
      <c r="GQ12" s="42"/>
      <c r="GR12" s="42"/>
      <c r="GS12" s="42"/>
      <c r="GT12" s="42"/>
      <c r="GU12" s="42"/>
      <c r="GV12" s="42"/>
      <c r="GW12" s="42"/>
      <c r="GX12" s="42"/>
      <c r="GY12" s="42"/>
      <c r="GZ12" s="42"/>
      <c r="HA12" s="42"/>
      <c r="HB12" s="42"/>
      <c r="HC12" s="42"/>
      <c r="HD12" s="42"/>
      <c r="HE12" s="42"/>
      <c r="HF12" s="42"/>
      <c r="HG12" s="42"/>
      <c r="HH12" s="42"/>
      <c r="HI12" s="42"/>
      <c r="HJ12" s="42"/>
      <c r="HK12" s="42"/>
      <c r="HL12" s="42"/>
      <c r="HM12" s="42"/>
      <c r="HN12" s="42"/>
      <c r="HO12" s="42"/>
      <c r="HP12" s="42"/>
      <c r="HQ12" s="42"/>
      <c r="HR12" s="42"/>
      <c r="HS12" s="42"/>
      <c r="HT12" s="42"/>
      <c r="HU12" s="42"/>
      <c r="HV12" s="42"/>
      <c r="HW12" s="42"/>
      <c r="HX12" s="42"/>
      <c r="HY12" s="42"/>
      <c r="HZ12" s="42"/>
      <c r="IA12" s="42"/>
      <c r="IB12" s="42"/>
      <c r="IC12" s="42"/>
      <c r="ID12" s="42"/>
      <c r="IE12" s="42"/>
      <c r="IF12" s="42"/>
      <c r="IG12" s="42"/>
      <c r="IH12" s="42"/>
      <c r="II12" s="42"/>
      <c r="IJ12" s="42"/>
      <c r="IK12" s="42"/>
      <c r="IL12" s="42"/>
      <c r="IM12" s="42"/>
      <c r="IN12" s="42"/>
      <c r="IO12" s="42"/>
      <c r="IP12" s="42"/>
      <c r="IQ12" s="42"/>
      <c r="IR12" s="42"/>
      <c r="IS12" s="42"/>
      <c r="IT12" s="42"/>
      <c r="IU12" s="42"/>
      <c r="IV12" s="42"/>
      <c r="IW12" s="42"/>
    </row>
    <row r="13" customFormat="false" ht="21" hidden="false" customHeight="true" outlineLevel="0" collapsed="false">
      <c r="A13" s="47" t="n">
        <v>1</v>
      </c>
      <c r="B13" s="69" t="s">
        <v>153</v>
      </c>
      <c r="C13" s="59" t="n">
        <v>2889</v>
      </c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42"/>
      <c r="FH13" s="42"/>
      <c r="FI13" s="42"/>
      <c r="FJ13" s="42"/>
      <c r="FK13" s="42"/>
      <c r="FL13" s="42"/>
      <c r="FM13" s="42"/>
      <c r="FN13" s="42"/>
      <c r="FO13" s="42"/>
      <c r="FP13" s="42"/>
      <c r="FQ13" s="42"/>
      <c r="FR13" s="42"/>
      <c r="FS13" s="42"/>
      <c r="FT13" s="42"/>
      <c r="FU13" s="42"/>
      <c r="FV13" s="42"/>
      <c r="FW13" s="42"/>
      <c r="FX13" s="42"/>
      <c r="FY13" s="42"/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42"/>
      <c r="GO13" s="42"/>
      <c r="GP13" s="42"/>
      <c r="GQ13" s="42"/>
      <c r="GR13" s="42"/>
      <c r="GS13" s="42"/>
      <c r="GT13" s="42"/>
      <c r="GU13" s="42"/>
      <c r="GV13" s="42"/>
      <c r="GW13" s="42"/>
      <c r="GX13" s="42"/>
      <c r="GY13" s="42"/>
      <c r="GZ13" s="42"/>
      <c r="HA13" s="42"/>
      <c r="HB13" s="42"/>
      <c r="HC13" s="42"/>
      <c r="HD13" s="42"/>
      <c r="HE13" s="42"/>
      <c r="HF13" s="42"/>
      <c r="HG13" s="42"/>
      <c r="HH13" s="42"/>
      <c r="HI13" s="42"/>
      <c r="HJ13" s="42"/>
      <c r="HK13" s="42"/>
      <c r="HL13" s="42"/>
      <c r="HM13" s="42"/>
      <c r="HN13" s="42"/>
      <c r="HO13" s="42"/>
      <c r="HP13" s="42"/>
      <c r="HQ13" s="42"/>
      <c r="HR13" s="42"/>
      <c r="HS13" s="42"/>
      <c r="HT13" s="42"/>
      <c r="HU13" s="42"/>
      <c r="HV13" s="42"/>
      <c r="HW13" s="42"/>
      <c r="HX13" s="42"/>
      <c r="HY13" s="42"/>
      <c r="HZ13" s="42"/>
      <c r="IA13" s="42"/>
      <c r="IB13" s="42"/>
      <c r="IC13" s="42"/>
      <c r="ID13" s="42"/>
      <c r="IE13" s="42"/>
      <c r="IF13" s="42"/>
      <c r="IG13" s="42"/>
      <c r="IH13" s="42"/>
      <c r="II13" s="42"/>
      <c r="IJ13" s="42"/>
      <c r="IK13" s="42"/>
      <c r="IL13" s="42"/>
      <c r="IM13" s="42"/>
      <c r="IN13" s="42"/>
      <c r="IO13" s="42"/>
      <c r="IP13" s="42"/>
      <c r="IQ13" s="42"/>
      <c r="IR13" s="42"/>
      <c r="IS13" s="42"/>
      <c r="IT13" s="42"/>
      <c r="IU13" s="42"/>
      <c r="IV13" s="42"/>
      <c r="IW13" s="42"/>
    </row>
    <row r="14" customFormat="false" ht="21" hidden="false" customHeight="true" outlineLevel="0" collapsed="false">
      <c r="A14" s="47" t="n">
        <v>1</v>
      </c>
      <c r="B14" s="69" t="s">
        <v>155</v>
      </c>
      <c r="C14" s="58" t="n">
        <v>2746</v>
      </c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2"/>
      <c r="FH14" s="42"/>
      <c r="FI14" s="42"/>
      <c r="FJ14" s="42"/>
      <c r="FK14" s="42"/>
      <c r="FL14" s="42"/>
      <c r="FM14" s="42"/>
      <c r="FN14" s="42"/>
      <c r="FO14" s="42"/>
      <c r="FP14" s="42"/>
      <c r="FQ14" s="42"/>
      <c r="FR14" s="42"/>
      <c r="FS14" s="42"/>
      <c r="FT14" s="42"/>
      <c r="FU14" s="42"/>
      <c r="FV14" s="42"/>
      <c r="FW14" s="42"/>
      <c r="FX14" s="42"/>
      <c r="FY14" s="42"/>
      <c r="FZ14" s="42"/>
      <c r="GA14" s="42"/>
      <c r="GB14" s="42"/>
      <c r="GC14" s="42"/>
      <c r="GD14" s="42"/>
      <c r="GE14" s="42"/>
      <c r="GF14" s="42"/>
      <c r="GG14" s="42"/>
      <c r="GH14" s="42"/>
      <c r="GI14" s="42"/>
      <c r="GJ14" s="42"/>
      <c r="GK14" s="42"/>
      <c r="GL14" s="42"/>
      <c r="GM14" s="42"/>
      <c r="GN14" s="42"/>
      <c r="GO14" s="42"/>
      <c r="GP14" s="42"/>
      <c r="GQ14" s="42"/>
      <c r="GR14" s="42"/>
      <c r="GS14" s="42"/>
      <c r="GT14" s="42"/>
      <c r="GU14" s="42"/>
      <c r="GV14" s="42"/>
      <c r="GW14" s="42"/>
      <c r="GX14" s="42"/>
      <c r="GY14" s="42"/>
      <c r="GZ14" s="42"/>
      <c r="HA14" s="42"/>
      <c r="HB14" s="42"/>
      <c r="HC14" s="42"/>
      <c r="HD14" s="42"/>
      <c r="HE14" s="42"/>
      <c r="HF14" s="42"/>
      <c r="HG14" s="42"/>
      <c r="HH14" s="42"/>
      <c r="HI14" s="42"/>
      <c r="HJ14" s="42"/>
      <c r="HK14" s="42"/>
      <c r="HL14" s="42"/>
      <c r="HM14" s="42"/>
      <c r="HN14" s="42"/>
      <c r="HO14" s="42"/>
      <c r="HP14" s="42"/>
      <c r="HQ14" s="42"/>
      <c r="HR14" s="42"/>
      <c r="HS14" s="42"/>
      <c r="HT14" s="42"/>
      <c r="HU14" s="42"/>
      <c r="HV14" s="42"/>
      <c r="HW14" s="42"/>
      <c r="HX14" s="42"/>
      <c r="HY14" s="42"/>
      <c r="HZ14" s="42"/>
      <c r="IA14" s="42"/>
      <c r="IB14" s="42"/>
      <c r="IC14" s="42"/>
      <c r="ID14" s="42"/>
      <c r="IE14" s="42"/>
      <c r="IF14" s="42"/>
      <c r="IG14" s="42"/>
      <c r="IH14" s="42"/>
      <c r="II14" s="42"/>
      <c r="IJ14" s="42"/>
      <c r="IK14" s="42"/>
      <c r="IL14" s="42"/>
      <c r="IM14" s="42"/>
      <c r="IN14" s="42"/>
      <c r="IO14" s="42"/>
      <c r="IP14" s="42"/>
      <c r="IQ14" s="42"/>
      <c r="IR14" s="42"/>
      <c r="IS14" s="42"/>
      <c r="IT14" s="42"/>
      <c r="IU14" s="42"/>
      <c r="IV14" s="42"/>
      <c r="IW14" s="42"/>
    </row>
    <row r="15" customFormat="false" ht="21" hidden="false" customHeight="true" outlineLevel="0" collapsed="false">
      <c r="A15" s="47" t="n">
        <v>1</v>
      </c>
      <c r="B15" s="69" t="s">
        <v>162</v>
      </c>
      <c r="C15" s="59" t="n">
        <v>2544</v>
      </c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2"/>
      <c r="EO15" s="42"/>
      <c r="EP15" s="42"/>
      <c r="EQ15" s="42"/>
      <c r="ER15" s="42"/>
      <c r="ES15" s="42"/>
      <c r="ET15" s="42"/>
      <c r="EU15" s="42"/>
      <c r="EV15" s="42"/>
      <c r="EW15" s="42"/>
      <c r="EX15" s="42"/>
      <c r="EY15" s="42"/>
      <c r="EZ15" s="42"/>
      <c r="FA15" s="42"/>
      <c r="FB15" s="42"/>
      <c r="FC15" s="42"/>
      <c r="FD15" s="42"/>
      <c r="FE15" s="42"/>
      <c r="FF15" s="42"/>
      <c r="FG15" s="42"/>
      <c r="FH15" s="42"/>
      <c r="FI15" s="42"/>
      <c r="FJ15" s="42"/>
      <c r="FK15" s="42"/>
      <c r="FL15" s="42"/>
      <c r="FM15" s="42"/>
      <c r="FN15" s="42"/>
      <c r="FO15" s="42"/>
      <c r="FP15" s="42"/>
      <c r="FQ15" s="42"/>
      <c r="FR15" s="42"/>
      <c r="FS15" s="42"/>
      <c r="FT15" s="42"/>
      <c r="FU15" s="42"/>
      <c r="FV15" s="42"/>
      <c r="FW15" s="42"/>
      <c r="FX15" s="42"/>
      <c r="FY15" s="42"/>
      <c r="FZ15" s="42"/>
      <c r="GA15" s="42"/>
      <c r="GB15" s="42"/>
      <c r="GC15" s="42"/>
      <c r="GD15" s="42"/>
      <c r="GE15" s="42"/>
      <c r="GF15" s="42"/>
      <c r="GG15" s="42"/>
      <c r="GH15" s="42"/>
      <c r="GI15" s="42"/>
      <c r="GJ15" s="42"/>
      <c r="GK15" s="42"/>
      <c r="GL15" s="42"/>
      <c r="GM15" s="42"/>
      <c r="GN15" s="42"/>
      <c r="GO15" s="42"/>
      <c r="GP15" s="42"/>
      <c r="GQ15" s="42"/>
      <c r="GR15" s="42"/>
      <c r="GS15" s="42"/>
      <c r="GT15" s="42"/>
      <c r="GU15" s="42"/>
      <c r="GV15" s="42"/>
      <c r="GW15" s="42"/>
      <c r="GX15" s="42"/>
      <c r="GY15" s="42"/>
      <c r="GZ15" s="42"/>
      <c r="HA15" s="42"/>
      <c r="HB15" s="42"/>
      <c r="HC15" s="42"/>
      <c r="HD15" s="42"/>
      <c r="HE15" s="42"/>
      <c r="HF15" s="42"/>
      <c r="HG15" s="42"/>
      <c r="HH15" s="42"/>
      <c r="HI15" s="42"/>
      <c r="HJ15" s="42"/>
      <c r="HK15" s="42"/>
      <c r="HL15" s="42"/>
      <c r="HM15" s="42"/>
      <c r="HN15" s="42"/>
      <c r="HO15" s="42"/>
      <c r="HP15" s="42"/>
      <c r="HQ15" s="42"/>
      <c r="HR15" s="42"/>
      <c r="HS15" s="42"/>
      <c r="HT15" s="42"/>
      <c r="HU15" s="42"/>
      <c r="HV15" s="42"/>
      <c r="HW15" s="42"/>
      <c r="HX15" s="42"/>
      <c r="HY15" s="42"/>
      <c r="HZ15" s="42"/>
      <c r="IA15" s="42"/>
      <c r="IB15" s="42"/>
      <c r="IC15" s="42"/>
      <c r="ID15" s="42"/>
      <c r="IE15" s="42"/>
      <c r="IF15" s="42"/>
      <c r="IG15" s="42"/>
      <c r="IH15" s="42"/>
      <c r="II15" s="42"/>
      <c r="IJ15" s="42"/>
      <c r="IK15" s="42"/>
      <c r="IL15" s="42"/>
      <c r="IM15" s="42"/>
      <c r="IN15" s="42"/>
      <c r="IO15" s="42"/>
      <c r="IP15" s="42"/>
      <c r="IQ15" s="42"/>
      <c r="IR15" s="42"/>
      <c r="IS15" s="42"/>
      <c r="IT15" s="42"/>
      <c r="IU15" s="42"/>
      <c r="IV15" s="42"/>
      <c r="IW15" s="42"/>
    </row>
    <row r="16" customFormat="false" ht="21" hidden="false" customHeight="true" outlineLevel="0" collapsed="false">
      <c r="A16" s="47" t="n">
        <v>1</v>
      </c>
      <c r="B16" s="69" t="s">
        <v>157</v>
      </c>
      <c r="C16" s="58" t="n">
        <v>2427</v>
      </c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2"/>
      <c r="DX16" s="42"/>
      <c r="DY16" s="42"/>
      <c r="DZ16" s="42"/>
      <c r="EA16" s="42"/>
      <c r="EB16" s="42"/>
      <c r="EC16" s="42"/>
      <c r="ED16" s="42"/>
      <c r="EE16" s="42"/>
      <c r="EF16" s="42"/>
      <c r="EG16" s="42"/>
      <c r="EH16" s="42"/>
      <c r="EI16" s="42"/>
      <c r="EJ16" s="42"/>
      <c r="EK16" s="42"/>
      <c r="EL16" s="42"/>
      <c r="EM16" s="42"/>
      <c r="EN16" s="42"/>
      <c r="EO16" s="42"/>
      <c r="EP16" s="42"/>
      <c r="EQ16" s="42"/>
      <c r="ER16" s="42"/>
      <c r="ES16" s="42"/>
      <c r="ET16" s="42"/>
      <c r="EU16" s="42"/>
      <c r="EV16" s="42"/>
      <c r="EW16" s="42"/>
      <c r="EX16" s="42"/>
      <c r="EY16" s="42"/>
      <c r="EZ16" s="42"/>
      <c r="FA16" s="42"/>
      <c r="FB16" s="42"/>
      <c r="FC16" s="42"/>
      <c r="FD16" s="42"/>
      <c r="FE16" s="42"/>
      <c r="FF16" s="42"/>
      <c r="FG16" s="42"/>
      <c r="FH16" s="42"/>
      <c r="FI16" s="42"/>
      <c r="FJ16" s="42"/>
      <c r="FK16" s="42"/>
      <c r="FL16" s="42"/>
      <c r="FM16" s="42"/>
      <c r="FN16" s="42"/>
      <c r="FO16" s="42"/>
      <c r="FP16" s="42"/>
      <c r="FQ16" s="42"/>
      <c r="FR16" s="42"/>
      <c r="FS16" s="42"/>
      <c r="FT16" s="42"/>
      <c r="FU16" s="42"/>
      <c r="FV16" s="42"/>
      <c r="FW16" s="42"/>
      <c r="FX16" s="42"/>
      <c r="FY16" s="42"/>
      <c r="FZ16" s="42"/>
      <c r="GA16" s="42"/>
      <c r="GB16" s="42"/>
      <c r="GC16" s="42"/>
      <c r="GD16" s="42"/>
      <c r="GE16" s="42"/>
      <c r="GF16" s="42"/>
      <c r="GG16" s="42"/>
      <c r="GH16" s="42"/>
      <c r="GI16" s="42"/>
      <c r="GJ16" s="42"/>
      <c r="GK16" s="42"/>
      <c r="GL16" s="42"/>
      <c r="GM16" s="42"/>
      <c r="GN16" s="42"/>
      <c r="GO16" s="42"/>
      <c r="GP16" s="42"/>
      <c r="GQ16" s="42"/>
      <c r="GR16" s="42"/>
      <c r="GS16" s="42"/>
      <c r="GT16" s="42"/>
      <c r="GU16" s="42"/>
      <c r="GV16" s="42"/>
      <c r="GW16" s="42"/>
      <c r="GX16" s="42"/>
      <c r="GY16" s="42"/>
      <c r="GZ16" s="42"/>
      <c r="HA16" s="42"/>
      <c r="HB16" s="42"/>
      <c r="HC16" s="42"/>
      <c r="HD16" s="42"/>
      <c r="HE16" s="42"/>
      <c r="HF16" s="42"/>
      <c r="HG16" s="42"/>
      <c r="HH16" s="42"/>
      <c r="HI16" s="42"/>
      <c r="HJ16" s="42"/>
      <c r="HK16" s="42"/>
      <c r="HL16" s="42"/>
      <c r="HM16" s="42"/>
      <c r="HN16" s="42"/>
      <c r="HO16" s="42"/>
      <c r="HP16" s="42"/>
      <c r="HQ16" s="42"/>
      <c r="HR16" s="42"/>
      <c r="HS16" s="42"/>
      <c r="HT16" s="42"/>
      <c r="HU16" s="42"/>
      <c r="HV16" s="42"/>
      <c r="HW16" s="42"/>
      <c r="HX16" s="42"/>
      <c r="HY16" s="42"/>
      <c r="HZ16" s="42"/>
      <c r="IA16" s="42"/>
      <c r="IB16" s="42"/>
      <c r="IC16" s="42"/>
      <c r="ID16" s="42"/>
      <c r="IE16" s="42"/>
      <c r="IF16" s="42"/>
      <c r="IG16" s="42"/>
      <c r="IH16" s="42"/>
      <c r="II16" s="42"/>
      <c r="IJ16" s="42"/>
      <c r="IK16" s="42"/>
      <c r="IL16" s="42"/>
      <c r="IM16" s="42"/>
      <c r="IN16" s="42"/>
      <c r="IO16" s="42"/>
      <c r="IP16" s="42"/>
      <c r="IQ16" s="42"/>
      <c r="IR16" s="42"/>
      <c r="IS16" s="42"/>
      <c r="IT16" s="42"/>
      <c r="IU16" s="42"/>
      <c r="IV16" s="42"/>
      <c r="IW16" s="42"/>
    </row>
    <row r="17" customFormat="false" ht="21" hidden="false" customHeight="true" outlineLevel="0" collapsed="false">
      <c r="A17" s="47" t="n">
        <v>1</v>
      </c>
      <c r="B17" s="69" t="s">
        <v>154</v>
      </c>
      <c r="C17" s="59" t="n">
        <v>2024</v>
      </c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  <c r="EO17" s="42"/>
      <c r="EP17" s="42"/>
      <c r="EQ17" s="42"/>
      <c r="ER17" s="42"/>
      <c r="ES17" s="42"/>
      <c r="ET17" s="42"/>
      <c r="EU17" s="42"/>
      <c r="EV17" s="42"/>
      <c r="EW17" s="42"/>
      <c r="EX17" s="42"/>
      <c r="EY17" s="42"/>
      <c r="EZ17" s="42"/>
      <c r="FA17" s="42"/>
      <c r="FB17" s="42"/>
      <c r="FC17" s="42"/>
      <c r="FD17" s="42"/>
      <c r="FE17" s="42"/>
      <c r="FF17" s="42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/>
      <c r="GL17" s="42"/>
      <c r="GM17" s="42"/>
      <c r="GN17" s="42"/>
      <c r="GO17" s="42"/>
      <c r="GP17" s="42"/>
      <c r="GQ17" s="42"/>
      <c r="GR17" s="42"/>
      <c r="GS17" s="42"/>
      <c r="GT17" s="42"/>
      <c r="GU17" s="42"/>
      <c r="GV17" s="42"/>
      <c r="GW17" s="42"/>
      <c r="GX17" s="42"/>
      <c r="GY17" s="42"/>
      <c r="GZ17" s="42"/>
      <c r="HA17" s="42"/>
      <c r="HB17" s="42"/>
      <c r="HC17" s="42"/>
      <c r="HD17" s="42"/>
      <c r="HE17" s="42"/>
      <c r="HF17" s="42"/>
      <c r="HG17" s="42"/>
      <c r="HH17" s="42"/>
      <c r="HI17" s="42"/>
      <c r="HJ17" s="42"/>
      <c r="HK17" s="42"/>
      <c r="HL17" s="42"/>
      <c r="HM17" s="42"/>
      <c r="HN17" s="42"/>
      <c r="HO17" s="42"/>
      <c r="HP17" s="42"/>
      <c r="HQ17" s="42"/>
      <c r="HR17" s="42"/>
      <c r="HS17" s="42"/>
      <c r="HT17" s="42"/>
      <c r="HU17" s="42"/>
      <c r="HV17" s="42"/>
      <c r="HW17" s="42"/>
      <c r="HX17" s="42"/>
      <c r="HY17" s="42"/>
      <c r="HZ17" s="42"/>
      <c r="IA17" s="42"/>
      <c r="IB17" s="42"/>
      <c r="IC17" s="42"/>
      <c r="ID17" s="42"/>
      <c r="IE17" s="42"/>
      <c r="IF17" s="42"/>
      <c r="IG17" s="42"/>
      <c r="IH17" s="42"/>
      <c r="II17" s="42"/>
      <c r="IJ17" s="42"/>
      <c r="IK17" s="42"/>
      <c r="IL17" s="42"/>
      <c r="IM17" s="42"/>
      <c r="IN17" s="42"/>
      <c r="IO17" s="42"/>
      <c r="IP17" s="42"/>
      <c r="IQ17" s="42"/>
      <c r="IR17" s="42"/>
      <c r="IS17" s="42"/>
      <c r="IT17" s="42"/>
      <c r="IU17" s="42"/>
      <c r="IV17" s="42"/>
      <c r="IW17" s="42"/>
    </row>
    <row r="18" customFormat="false" ht="21" hidden="false" customHeight="true" outlineLevel="0" collapsed="false">
      <c r="A18" s="72" t="s">
        <v>100</v>
      </c>
      <c r="B18" s="72"/>
      <c r="C18" s="92" t="n">
        <f aca="false">SUM(C8:C17)</f>
        <v>47006</v>
      </c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 s="42"/>
      <c r="DT18" s="42"/>
      <c r="DU18" s="42"/>
      <c r="DV18" s="42"/>
      <c r="DW18" s="42"/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/>
      <c r="EN18" s="42"/>
      <c r="EO18" s="42"/>
      <c r="EP18" s="42"/>
      <c r="EQ18" s="42"/>
      <c r="ER18" s="42"/>
      <c r="ES18" s="42"/>
      <c r="ET18" s="42"/>
      <c r="EU18" s="42"/>
      <c r="EV18" s="42"/>
      <c r="EW18" s="42"/>
      <c r="EX18" s="42"/>
      <c r="EY18" s="42"/>
      <c r="EZ18" s="42"/>
      <c r="FA18" s="42"/>
      <c r="FB18" s="42"/>
      <c r="FC18" s="42"/>
      <c r="FD18" s="42"/>
      <c r="FE18" s="42"/>
      <c r="FF18" s="42"/>
      <c r="FG18" s="42"/>
      <c r="FH18" s="42"/>
      <c r="FI18" s="42"/>
      <c r="FJ18" s="42"/>
      <c r="FK18" s="42"/>
      <c r="FL18" s="42"/>
      <c r="FM18" s="42"/>
      <c r="FN18" s="42"/>
      <c r="FO18" s="42"/>
      <c r="FP18" s="42"/>
      <c r="FQ18" s="42"/>
      <c r="FR18" s="42"/>
      <c r="FS18" s="42"/>
      <c r="FT18" s="42"/>
      <c r="FU18" s="42"/>
      <c r="FV18" s="42"/>
      <c r="FW18" s="42"/>
      <c r="FX18" s="42"/>
      <c r="FY18" s="42"/>
      <c r="FZ18" s="42"/>
      <c r="GA18" s="42"/>
      <c r="GB18" s="42"/>
      <c r="GC18" s="42"/>
      <c r="GD18" s="42"/>
      <c r="GE18" s="42"/>
      <c r="GF18" s="42"/>
      <c r="GG18" s="42"/>
      <c r="GH18" s="42"/>
      <c r="GI18" s="42"/>
      <c r="GJ18" s="42"/>
      <c r="GK18" s="42"/>
      <c r="GL18" s="42"/>
      <c r="GM18" s="42"/>
      <c r="GN18" s="42"/>
      <c r="GO18" s="42"/>
      <c r="GP18" s="42"/>
      <c r="GQ18" s="42"/>
      <c r="GR18" s="42"/>
      <c r="GS18" s="42"/>
      <c r="GT18" s="42"/>
      <c r="GU18" s="42"/>
      <c r="GV18" s="42"/>
      <c r="GW18" s="42"/>
      <c r="GX18" s="42"/>
      <c r="GY18" s="42"/>
      <c r="GZ18" s="42"/>
      <c r="HA18" s="42"/>
      <c r="HB18" s="42"/>
      <c r="HC18" s="42"/>
      <c r="HD18" s="42"/>
      <c r="HE18" s="42"/>
      <c r="HF18" s="42"/>
      <c r="HG18" s="42"/>
      <c r="HH18" s="42"/>
      <c r="HI18" s="42"/>
      <c r="HJ18" s="42"/>
      <c r="HK18" s="42"/>
      <c r="HL18" s="42"/>
      <c r="HM18" s="42"/>
      <c r="HN18" s="42"/>
      <c r="HO18" s="42"/>
      <c r="HP18" s="42"/>
      <c r="HQ18" s="42"/>
      <c r="HR18" s="42"/>
      <c r="HS18" s="42"/>
      <c r="HT18" s="42"/>
      <c r="HU18" s="42"/>
      <c r="HV18" s="42"/>
      <c r="HW18" s="42"/>
      <c r="HX18" s="42"/>
      <c r="HY18" s="42"/>
      <c r="HZ18" s="42"/>
      <c r="IA18" s="42"/>
      <c r="IB18" s="42"/>
      <c r="IC18" s="42"/>
      <c r="ID18" s="42"/>
      <c r="IE18" s="42"/>
      <c r="IF18" s="42"/>
      <c r="IG18" s="42"/>
      <c r="IH18" s="42"/>
      <c r="II18" s="42"/>
      <c r="IJ18" s="42"/>
      <c r="IK18" s="42"/>
      <c r="IL18" s="42"/>
      <c r="IM18" s="42"/>
      <c r="IN18" s="42"/>
      <c r="IO18" s="42"/>
      <c r="IP18" s="42"/>
      <c r="IQ18" s="42"/>
      <c r="IR18" s="42"/>
      <c r="IS18" s="42"/>
      <c r="IT18" s="42"/>
      <c r="IU18" s="42"/>
      <c r="IV18" s="42"/>
      <c r="IW18" s="42"/>
    </row>
    <row r="19" customFormat="false" ht="21" hidden="false" customHeight="true" outlineLevel="0" collapsed="false">
      <c r="A19" s="33" t="s">
        <v>161</v>
      </c>
      <c r="B19" s="33"/>
      <c r="C19" s="93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/>
      <c r="DI19" s="42"/>
      <c r="DJ19" s="42"/>
      <c r="DK19" s="42"/>
      <c r="DL19" s="42"/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42"/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42"/>
      <c r="FH19" s="42"/>
      <c r="FI19" s="42"/>
      <c r="FJ19" s="42"/>
      <c r="FK19" s="42"/>
      <c r="FL19" s="42"/>
      <c r="FM19" s="42"/>
      <c r="FN19" s="42"/>
      <c r="FO19" s="42"/>
      <c r="FP19" s="42"/>
      <c r="FQ19" s="42"/>
      <c r="FR19" s="42"/>
      <c r="FS19" s="42"/>
      <c r="FT19" s="42"/>
      <c r="FU19" s="42"/>
      <c r="FV19" s="42"/>
      <c r="FW19" s="42"/>
      <c r="FX19" s="42"/>
      <c r="FY19" s="42"/>
      <c r="FZ19" s="42"/>
      <c r="GA19" s="42"/>
      <c r="GB19" s="42"/>
      <c r="GC19" s="42"/>
      <c r="GD19" s="42"/>
      <c r="GE19" s="42"/>
      <c r="GF19" s="42"/>
      <c r="GG19" s="42"/>
      <c r="GH19" s="42"/>
      <c r="GI19" s="42"/>
      <c r="GJ19" s="42"/>
      <c r="GK19" s="42"/>
      <c r="GL19" s="42"/>
      <c r="GM19" s="42"/>
      <c r="GN19" s="42"/>
      <c r="GO19" s="42"/>
      <c r="GP19" s="42"/>
      <c r="GQ19" s="42"/>
      <c r="GR19" s="42"/>
      <c r="GS19" s="42"/>
      <c r="GT19" s="42"/>
      <c r="GU19" s="42"/>
      <c r="GV19" s="42"/>
      <c r="GW19" s="42"/>
      <c r="GX19" s="42"/>
      <c r="GY19" s="42"/>
      <c r="GZ19" s="42"/>
      <c r="HA19" s="42"/>
      <c r="HB19" s="42"/>
      <c r="HC19" s="42"/>
      <c r="HD19" s="42"/>
      <c r="HE19" s="42"/>
      <c r="HF19" s="42"/>
      <c r="HG19" s="42"/>
      <c r="HH19" s="42"/>
      <c r="HI19" s="42"/>
      <c r="HJ19" s="42"/>
      <c r="HK19" s="42"/>
      <c r="HL19" s="42"/>
      <c r="HM19" s="42"/>
      <c r="HN19" s="42"/>
      <c r="HO19" s="42"/>
      <c r="HP19" s="42"/>
      <c r="HQ19" s="42"/>
      <c r="HR19" s="42"/>
      <c r="HS19" s="42"/>
      <c r="HT19" s="42"/>
      <c r="HU19" s="42"/>
      <c r="HV19" s="42"/>
      <c r="HW19" s="42"/>
      <c r="HX19" s="42"/>
      <c r="HY19" s="42"/>
      <c r="HZ19" s="42"/>
      <c r="IA19" s="42"/>
      <c r="IB19" s="42"/>
      <c r="IC19" s="42"/>
      <c r="ID19" s="42"/>
      <c r="IE19" s="42"/>
      <c r="IF19" s="42"/>
      <c r="IG19" s="42"/>
      <c r="IH19" s="42"/>
      <c r="II19" s="42"/>
      <c r="IJ19" s="42"/>
      <c r="IK19" s="42"/>
      <c r="IL19" s="42"/>
      <c r="IM19" s="42"/>
      <c r="IN19" s="42"/>
      <c r="IO19" s="42"/>
      <c r="IP19" s="42"/>
      <c r="IQ19" s="42"/>
      <c r="IR19" s="42"/>
      <c r="IS19" s="42"/>
      <c r="IT19" s="42"/>
      <c r="IU19" s="42"/>
      <c r="IV19" s="42"/>
      <c r="IW19" s="42"/>
    </row>
    <row r="20" customFormat="false" ht="21" hidden="false" customHeight="true" outlineLevel="0" collapsed="false">
      <c r="A20" s="39"/>
      <c r="B20" s="39"/>
      <c r="C20" s="41" t="s">
        <v>83</v>
      </c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2"/>
      <c r="EE20" s="42"/>
      <c r="EF20" s="42"/>
      <c r="EG20" s="42"/>
      <c r="EH20" s="42"/>
      <c r="EI20" s="42"/>
      <c r="EJ20" s="42"/>
      <c r="EK20" s="42"/>
      <c r="EL20" s="42"/>
      <c r="EM20" s="42"/>
      <c r="EN20" s="42"/>
      <c r="EO20" s="42"/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2"/>
      <c r="FA20" s="42"/>
      <c r="FB20" s="42"/>
      <c r="FC20" s="42"/>
      <c r="FD20" s="42"/>
      <c r="FE20" s="42"/>
      <c r="FF20" s="42"/>
      <c r="FG20" s="42"/>
      <c r="FH20" s="42"/>
      <c r="FI20" s="42"/>
      <c r="FJ20" s="42"/>
      <c r="FK20" s="42"/>
      <c r="FL20" s="42"/>
      <c r="FM20" s="42"/>
      <c r="FN20" s="42"/>
      <c r="FO20" s="42"/>
      <c r="FP20" s="42"/>
      <c r="FQ20" s="42"/>
      <c r="FR20" s="42"/>
      <c r="FS20" s="42"/>
      <c r="FT20" s="42"/>
      <c r="FU20" s="42"/>
      <c r="FV20" s="42"/>
      <c r="FW20" s="42"/>
      <c r="FX20" s="42"/>
      <c r="FY20" s="42"/>
      <c r="FZ20" s="42"/>
      <c r="GA20" s="42"/>
      <c r="GB20" s="42"/>
      <c r="GC20" s="42"/>
      <c r="GD20" s="42"/>
      <c r="GE20" s="42"/>
      <c r="GF20" s="42"/>
      <c r="GG20" s="42"/>
      <c r="GH20" s="42"/>
      <c r="GI20" s="42"/>
      <c r="GJ20" s="42"/>
      <c r="GK20" s="42"/>
      <c r="GL20" s="42"/>
      <c r="GM20" s="42"/>
      <c r="GN20" s="42"/>
      <c r="GO20" s="42"/>
      <c r="GP20" s="42"/>
      <c r="GQ20" s="42"/>
      <c r="GR20" s="42"/>
      <c r="GS20" s="42"/>
      <c r="GT20" s="42"/>
      <c r="GU20" s="42"/>
      <c r="GV20" s="42"/>
      <c r="GW20" s="42"/>
      <c r="GX20" s="42"/>
      <c r="GY20" s="42"/>
      <c r="GZ20" s="42"/>
      <c r="HA20" s="42"/>
      <c r="HB20" s="42"/>
      <c r="HC20" s="42"/>
      <c r="HD20" s="42"/>
      <c r="HE20" s="42"/>
      <c r="HF20" s="42"/>
      <c r="HG20" s="42"/>
      <c r="HH20" s="42"/>
      <c r="HI20" s="42"/>
      <c r="HJ20" s="42"/>
      <c r="HK20" s="42"/>
      <c r="HL20" s="42"/>
      <c r="HM20" s="42"/>
      <c r="HN20" s="42"/>
      <c r="HO20" s="42"/>
      <c r="HP20" s="42"/>
      <c r="HQ20" s="42"/>
      <c r="HR20" s="42"/>
      <c r="HS20" s="42"/>
      <c r="HT20" s="42"/>
      <c r="HU20" s="42"/>
      <c r="HV20" s="42"/>
      <c r="HW20" s="42"/>
      <c r="HX20" s="42"/>
      <c r="HY20" s="42"/>
      <c r="HZ20" s="42"/>
      <c r="IA20" s="42"/>
      <c r="IB20" s="42"/>
      <c r="IC20" s="42"/>
      <c r="ID20" s="42"/>
      <c r="IE20" s="42"/>
      <c r="IF20" s="42"/>
      <c r="IG20" s="42"/>
      <c r="IH20" s="42"/>
      <c r="II20" s="42"/>
      <c r="IJ20" s="42"/>
      <c r="IK20" s="42"/>
      <c r="IL20" s="42"/>
      <c r="IM20" s="42"/>
      <c r="IN20" s="42"/>
      <c r="IO20" s="42"/>
      <c r="IP20" s="42"/>
      <c r="IQ20" s="42"/>
      <c r="IR20" s="42"/>
      <c r="IS20" s="42"/>
      <c r="IT20" s="42"/>
      <c r="IU20" s="42"/>
      <c r="IV20" s="42"/>
      <c r="IW20" s="42"/>
    </row>
    <row r="21" customFormat="false" ht="22.2" hidden="false" customHeight="true" outlineLevel="0" collapsed="false"/>
  </sheetData>
  <mergeCells count="9">
    <mergeCell ref="A3:C3"/>
    <mergeCell ref="A4:C4"/>
    <mergeCell ref="B5:C5"/>
    <mergeCell ref="A6:A7"/>
    <mergeCell ref="B6:B7"/>
    <mergeCell ref="C6:C7"/>
    <mergeCell ref="A18:B18"/>
    <mergeCell ref="A19:B19"/>
    <mergeCell ref="A20:B20"/>
  </mergeCells>
  <hyperlinks>
    <hyperlink ref="C20" location="'Index '!A1" display="Back to index"/>
  </hyperlinks>
  <printOptions headings="true" gridLines="false" gridLinesSet="true" horizontalCentered="false" verticalCentered="false"/>
  <pageMargins left="0.7" right="0.7" top="0.75" bottom="0.75" header="0.511811023622047" footer="0.511811023622047"/>
  <pageSetup paperSize="9" scale="1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1"/>
  <sheetViews>
    <sheetView showFormulas="false" showGridLines="false" showRowColHeaders="true" showZeros="true" rightToLeft="false" tabSelected="false" showOutlineSymbols="true" defaultGridColor="true" view="pageBreakPreview" topLeftCell="A1" colorId="64" zoomScale="122" zoomScaleNormal="100" zoomScalePageLayoutView="122" workbookViewId="0">
      <selection pane="topLeft" activeCell="C1" activeCellId="0" sqref="C1"/>
    </sheetView>
  </sheetViews>
  <sheetFormatPr defaultColWidth="9.1015625" defaultRowHeight="13.2" customHeight="false" zeroHeight="false" outlineLevelRow="0" outlineLevelCol="0"/>
  <cols>
    <col collapsed="false" customWidth="false" hidden="false" outlineLevel="0" max="1" min="1" style="7" width="9.1"/>
    <col collapsed="false" customWidth="true" hidden="false" outlineLevel="0" max="2" min="2" style="16" width="20.66"/>
    <col collapsed="false" customWidth="true" hidden="false" outlineLevel="0" max="3" min="3" style="7" width="32.66"/>
    <col collapsed="false" customWidth="true" hidden="false" outlineLevel="0" max="4" min="4" style="42" width="10.87"/>
    <col collapsed="false" customWidth="false" hidden="false" outlineLevel="0" max="5" min="5" style="42" width="9.1"/>
    <col collapsed="false" customWidth="true" hidden="false" outlineLevel="0" max="6" min="6" style="42" width="11.66"/>
    <col collapsed="false" customWidth="true" hidden="false" outlineLevel="0" max="7" min="7" style="42" width="14.1"/>
    <col collapsed="false" customWidth="true" hidden="false" outlineLevel="0" max="8" min="8" style="42" width="11.43"/>
    <col collapsed="false" customWidth="false" hidden="false" outlineLevel="0" max="9" min="9" style="42" width="9.1"/>
    <col collapsed="false" customWidth="true" hidden="false" outlineLevel="0" max="10" min="10" style="7" width="0.33"/>
    <col collapsed="false" customWidth="false" hidden="true" outlineLevel="0" max="12" min="11" style="7" width="9.1"/>
    <col collapsed="false" customWidth="false" hidden="false" outlineLevel="0" max="257" min="13" style="7" width="9.1"/>
  </cols>
  <sheetData>
    <row r="1" customFormat="false" ht="21" hidden="false" customHeight="true" outlineLevel="0" collapsed="false">
      <c r="C1" s="91" t="s">
        <v>17</v>
      </c>
    </row>
    <row r="2" customFormat="false" ht="21" hidden="false" customHeight="true" outlineLevel="0" collapsed="false"/>
    <row r="3" customFormat="false" ht="21" hidden="false" customHeight="true" outlineLevel="0" collapsed="false">
      <c r="A3" s="18"/>
      <c r="B3" s="18"/>
      <c r="C3" s="18"/>
    </row>
    <row r="4" customFormat="false" ht="54.75" hidden="false" customHeight="true" outlineLevel="0" collapsed="false">
      <c r="A4" s="20" t="s">
        <v>15</v>
      </c>
      <c r="B4" s="20"/>
      <c r="C4" s="20"/>
    </row>
    <row r="5" customFormat="false" ht="21" hidden="false" customHeight="true" outlineLevel="0" collapsed="false">
      <c r="B5" s="21"/>
      <c r="C5" s="21"/>
    </row>
    <row r="6" customFormat="false" ht="21" hidden="false" customHeight="true" outlineLevel="0" collapsed="false">
      <c r="A6" s="79" t="s">
        <v>19</v>
      </c>
      <c r="B6" s="45" t="s">
        <v>149</v>
      </c>
      <c r="C6" s="45" t="s">
        <v>150</v>
      </c>
    </row>
    <row r="7" customFormat="false" ht="21" hidden="false" customHeight="true" outlineLevel="0" collapsed="false">
      <c r="A7" s="79" t="n">
        <v>1</v>
      </c>
      <c r="B7" s="45"/>
      <c r="C7" s="45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  <c r="EY7" s="42"/>
      <c r="EZ7" s="42"/>
      <c r="FA7" s="42"/>
      <c r="FB7" s="42"/>
      <c r="FC7" s="42"/>
      <c r="FD7" s="42"/>
      <c r="FE7" s="42"/>
      <c r="FF7" s="42"/>
      <c r="FG7" s="42"/>
      <c r="FH7" s="42"/>
      <c r="FI7" s="42"/>
      <c r="FJ7" s="42"/>
      <c r="FK7" s="42"/>
      <c r="FL7" s="42"/>
      <c r="FM7" s="42"/>
      <c r="FN7" s="42"/>
      <c r="FO7" s="42"/>
      <c r="FP7" s="42"/>
      <c r="FQ7" s="42"/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</row>
    <row r="8" customFormat="false" ht="21" hidden="false" customHeight="true" outlineLevel="0" collapsed="false">
      <c r="A8" s="47" t="n">
        <v>1</v>
      </c>
      <c r="B8" s="69" t="s">
        <v>166</v>
      </c>
      <c r="C8" s="58" t="n">
        <v>20860.31</v>
      </c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  <c r="EY8" s="42"/>
      <c r="EZ8" s="42"/>
      <c r="FA8" s="42"/>
      <c r="FB8" s="42"/>
      <c r="FC8" s="42"/>
      <c r="FD8" s="42"/>
      <c r="FE8" s="42"/>
      <c r="FF8" s="42"/>
      <c r="FG8" s="42"/>
      <c r="FH8" s="42"/>
      <c r="FI8" s="42"/>
      <c r="FJ8" s="42"/>
      <c r="FK8" s="42"/>
      <c r="FL8" s="42"/>
      <c r="FM8" s="42"/>
      <c r="FN8" s="42"/>
      <c r="FO8" s="42"/>
      <c r="FP8" s="42"/>
      <c r="FQ8" s="42"/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</row>
    <row r="9" customFormat="false" ht="21" hidden="false" customHeight="true" outlineLevel="0" collapsed="false">
      <c r="A9" s="47" t="n">
        <v>1</v>
      </c>
      <c r="B9" s="69" t="s">
        <v>152</v>
      </c>
      <c r="C9" s="59" t="n">
        <v>17328.11</v>
      </c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  <c r="EY9" s="42"/>
      <c r="EZ9" s="42"/>
      <c r="FA9" s="42"/>
      <c r="FB9" s="42"/>
      <c r="FC9" s="42"/>
      <c r="FD9" s="42"/>
      <c r="FE9" s="42"/>
      <c r="FF9" s="42"/>
      <c r="FG9" s="42"/>
      <c r="FH9" s="42"/>
      <c r="FI9" s="42"/>
      <c r="FJ9" s="42"/>
      <c r="FK9" s="42"/>
      <c r="FL9" s="42"/>
      <c r="FM9" s="42"/>
      <c r="FN9" s="42"/>
      <c r="FO9" s="42"/>
      <c r="FP9" s="42"/>
      <c r="FQ9" s="42"/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</row>
    <row r="10" customFormat="false" ht="21" hidden="false" customHeight="true" outlineLevel="0" collapsed="false">
      <c r="A10" s="47" t="n">
        <v>1</v>
      </c>
      <c r="B10" s="69" t="s">
        <v>167</v>
      </c>
      <c r="C10" s="58" t="n">
        <v>16893.98</v>
      </c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2"/>
      <c r="FA10" s="42"/>
      <c r="FB10" s="42"/>
      <c r="FC10" s="42"/>
      <c r="FD10" s="42"/>
      <c r="FE10" s="42"/>
      <c r="FF10" s="42"/>
      <c r="FG10" s="42"/>
      <c r="FH10" s="42"/>
      <c r="FI10" s="42"/>
      <c r="FJ10" s="42"/>
      <c r="FK10" s="42"/>
      <c r="FL10" s="42"/>
      <c r="FM10" s="42"/>
      <c r="FN10" s="42"/>
      <c r="FO10" s="42"/>
      <c r="FP10" s="42"/>
      <c r="FQ10" s="42"/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  <c r="IU10" s="42"/>
      <c r="IV10" s="42"/>
      <c r="IW10" s="42"/>
    </row>
    <row r="11" customFormat="false" ht="21" hidden="false" customHeight="true" outlineLevel="0" collapsed="false">
      <c r="A11" s="47" t="n">
        <v>1</v>
      </c>
      <c r="B11" s="69" t="s">
        <v>168</v>
      </c>
      <c r="C11" s="59" t="n">
        <v>15741.94</v>
      </c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2"/>
      <c r="FG11" s="42"/>
      <c r="FH11" s="42"/>
      <c r="FI11" s="42"/>
      <c r="FJ11" s="42"/>
      <c r="FK11" s="42"/>
      <c r="FL11" s="42"/>
      <c r="FM11" s="42"/>
      <c r="FN11" s="42"/>
      <c r="FO11" s="42"/>
      <c r="FP11" s="42"/>
      <c r="FQ11" s="42"/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2"/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2"/>
      <c r="IR11" s="42"/>
      <c r="IS11" s="42"/>
      <c r="IT11" s="42"/>
      <c r="IU11" s="42"/>
      <c r="IV11" s="42"/>
      <c r="IW11" s="42"/>
    </row>
    <row r="12" customFormat="false" ht="21" hidden="false" customHeight="true" outlineLevel="0" collapsed="false">
      <c r="A12" s="47" t="n">
        <v>1</v>
      </c>
      <c r="B12" s="69" t="s">
        <v>169</v>
      </c>
      <c r="C12" s="58" t="n">
        <v>11475.91</v>
      </c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42"/>
      <c r="FH12" s="42"/>
      <c r="FI12" s="42"/>
      <c r="FJ12" s="42"/>
      <c r="FK12" s="42"/>
      <c r="FL12" s="42"/>
      <c r="FM12" s="42"/>
      <c r="FN12" s="42"/>
      <c r="FO12" s="42"/>
      <c r="FP12" s="42"/>
      <c r="FQ12" s="42"/>
      <c r="FR12" s="42"/>
      <c r="FS12" s="42"/>
      <c r="FT12" s="42"/>
      <c r="FU12" s="42"/>
      <c r="FV12" s="42"/>
      <c r="FW12" s="42"/>
      <c r="FX12" s="42"/>
      <c r="FY12" s="42"/>
      <c r="FZ12" s="42"/>
      <c r="GA12" s="42"/>
      <c r="GB12" s="42"/>
      <c r="GC12" s="42"/>
      <c r="GD12" s="42"/>
      <c r="GE12" s="42"/>
      <c r="GF12" s="42"/>
      <c r="GG12" s="42"/>
      <c r="GH12" s="42"/>
      <c r="GI12" s="42"/>
      <c r="GJ12" s="42"/>
      <c r="GK12" s="42"/>
      <c r="GL12" s="42"/>
      <c r="GM12" s="42"/>
      <c r="GN12" s="42"/>
      <c r="GO12" s="42"/>
      <c r="GP12" s="42"/>
      <c r="GQ12" s="42"/>
      <c r="GR12" s="42"/>
      <c r="GS12" s="42"/>
      <c r="GT12" s="42"/>
      <c r="GU12" s="42"/>
      <c r="GV12" s="42"/>
      <c r="GW12" s="42"/>
      <c r="GX12" s="42"/>
      <c r="GY12" s="42"/>
      <c r="GZ12" s="42"/>
      <c r="HA12" s="42"/>
      <c r="HB12" s="42"/>
      <c r="HC12" s="42"/>
      <c r="HD12" s="42"/>
      <c r="HE12" s="42"/>
      <c r="HF12" s="42"/>
      <c r="HG12" s="42"/>
      <c r="HH12" s="42"/>
      <c r="HI12" s="42"/>
      <c r="HJ12" s="42"/>
      <c r="HK12" s="42"/>
      <c r="HL12" s="42"/>
      <c r="HM12" s="42"/>
      <c r="HN12" s="42"/>
      <c r="HO12" s="42"/>
      <c r="HP12" s="42"/>
      <c r="HQ12" s="42"/>
      <c r="HR12" s="42"/>
      <c r="HS12" s="42"/>
      <c r="HT12" s="42"/>
      <c r="HU12" s="42"/>
      <c r="HV12" s="42"/>
      <c r="HW12" s="42"/>
      <c r="HX12" s="42"/>
      <c r="HY12" s="42"/>
      <c r="HZ12" s="42"/>
      <c r="IA12" s="42"/>
      <c r="IB12" s="42"/>
      <c r="IC12" s="42"/>
      <c r="ID12" s="42"/>
      <c r="IE12" s="42"/>
      <c r="IF12" s="42"/>
      <c r="IG12" s="42"/>
      <c r="IH12" s="42"/>
      <c r="II12" s="42"/>
      <c r="IJ12" s="42"/>
      <c r="IK12" s="42"/>
      <c r="IL12" s="42"/>
      <c r="IM12" s="42"/>
      <c r="IN12" s="42"/>
      <c r="IO12" s="42"/>
      <c r="IP12" s="42"/>
      <c r="IQ12" s="42"/>
      <c r="IR12" s="42"/>
      <c r="IS12" s="42"/>
      <c r="IT12" s="42"/>
      <c r="IU12" s="42"/>
      <c r="IV12" s="42"/>
      <c r="IW12" s="42"/>
    </row>
    <row r="13" customFormat="false" ht="21" hidden="false" customHeight="true" outlineLevel="0" collapsed="false">
      <c r="A13" s="47" t="n">
        <v>1</v>
      </c>
      <c r="B13" s="69" t="s">
        <v>160</v>
      </c>
      <c r="C13" s="59" t="n">
        <v>8172.33</v>
      </c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42"/>
      <c r="FH13" s="42"/>
      <c r="FI13" s="42"/>
      <c r="FJ13" s="42"/>
      <c r="FK13" s="42"/>
      <c r="FL13" s="42"/>
      <c r="FM13" s="42"/>
      <c r="FN13" s="42"/>
      <c r="FO13" s="42"/>
      <c r="FP13" s="42"/>
      <c r="FQ13" s="42"/>
      <c r="FR13" s="42"/>
      <c r="FS13" s="42"/>
      <c r="FT13" s="42"/>
      <c r="FU13" s="42"/>
      <c r="FV13" s="42"/>
      <c r="FW13" s="42"/>
      <c r="FX13" s="42"/>
      <c r="FY13" s="42"/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42"/>
      <c r="GO13" s="42"/>
      <c r="GP13" s="42"/>
      <c r="GQ13" s="42"/>
      <c r="GR13" s="42"/>
      <c r="GS13" s="42"/>
      <c r="GT13" s="42"/>
      <c r="GU13" s="42"/>
      <c r="GV13" s="42"/>
      <c r="GW13" s="42"/>
      <c r="GX13" s="42"/>
      <c r="GY13" s="42"/>
      <c r="GZ13" s="42"/>
      <c r="HA13" s="42"/>
      <c r="HB13" s="42"/>
      <c r="HC13" s="42"/>
      <c r="HD13" s="42"/>
      <c r="HE13" s="42"/>
      <c r="HF13" s="42"/>
      <c r="HG13" s="42"/>
      <c r="HH13" s="42"/>
      <c r="HI13" s="42"/>
      <c r="HJ13" s="42"/>
      <c r="HK13" s="42"/>
      <c r="HL13" s="42"/>
      <c r="HM13" s="42"/>
      <c r="HN13" s="42"/>
      <c r="HO13" s="42"/>
      <c r="HP13" s="42"/>
      <c r="HQ13" s="42"/>
      <c r="HR13" s="42"/>
      <c r="HS13" s="42"/>
      <c r="HT13" s="42"/>
      <c r="HU13" s="42"/>
      <c r="HV13" s="42"/>
      <c r="HW13" s="42"/>
      <c r="HX13" s="42"/>
      <c r="HY13" s="42"/>
      <c r="HZ13" s="42"/>
      <c r="IA13" s="42"/>
      <c r="IB13" s="42"/>
      <c r="IC13" s="42"/>
      <c r="ID13" s="42"/>
      <c r="IE13" s="42"/>
      <c r="IF13" s="42"/>
      <c r="IG13" s="42"/>
      <c r="IH13" s="42"/>
      <c r="II13" s="42"/>
      <c r="IJ13" s="42"/>
      <c r="IK13" s="42"/>
      <c r="IL13" s="42"/>
      <c r="IM13" s="42"/>
      <c r="IN13" s="42"/>
      <c r="IO13" s="42"/>
      <c r="IP13" s="42"/>
      <c r="IQ13" s="42"/>
      <c r="IR13" s="42"/>
      <c r="IS13" s="42"/>
      <c r="IT13" s="42"/>
      <c r="IU13" s="42"/>
      <c r="IV13" s="42"/>
      <c r="IW13" s="42"/>
    </row>
    <row r="14" customFormat="false" ht="21" hidden="false" customHeight="true" outlineLevel="0" collapsed="false">
      <c r="A14" s="47" t="n">
        <v>1</v>
      </c>
      <c r="B14" s="69" t="s">
        <v>170</v>
      </c>
      <c r="C14" s="58" t="n">
        <v>6498.13</v>
      </c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2"/>
      <c r="FH14" s="42"/>
      <c r="FI14" s="42"/>
      <c r="FJ14" s="42"/>
      <c r="FK14" s="42"/>
      <c r="FL14" s="42"/>
      <c r="FM14" s="42"/>
      <c r="FN14" s="42"/>
      <c r="FO14" s="42"/>
      <c r="FP14" s="42"/>
      <c r="FQ14" s="42"/>
      <c r="FR14" s="42"/>
      <c r="FS14" s="42"/>
      <c r="FT14" s="42"/>
      <c r="FU14" s="42"/>
      <c r="FV14" s="42"/>
      <c r="FW14" s="42"/>
      <c r="FX14" s="42"/>
      <c r="FY14" s="42"/>
      <c r="FZ14" s="42"/>
      <c r="GA14" s="42"/>
      <c r="GB14" s="42"/>
      <c r="GC14" s="42"/>
      <c r="GD14" s="42"/>
      <c r="GE14" s="42"/>
      <c r="GF14" s="42"/>
      <c r="GG14" s="42"/>
      <c r="GH14" s="42"/>
      <c r="GI14" s="42"/>
      <c r="GJ14" s="42"/>
      <c r="GK14" s="42"/>
      <c r="GL14" s="42"/>
      <c r="GM14" s="42"/>
      <c r="GN14" s="42"/>
      <c r="GO14" s="42"/>
      <c r="GP14" s="42"/>
      <c r="GQ14" s="42"/>
      <c r="GR14" s="42"/>
      <c r="GS14" s="42"/>
      <c r="GT14" s="42"/>
      <c r="GU14" s="42"/>
      <c r="GV14" s="42"/>
      <c r="GW14" s="42"/>
      <c r="GX14" s="42"/>
      <c r="GY14" s="42"/>
      <c r="GZ14" s="42"/>
      <c r="HA14" s="42"/>
      <c r="HB14" s="42"/>
      <c r="HC14" s="42"/>
      <c r="HD14" s="42"/>
      <c r="HE14" s="42"/>
      <c r="HF14" s="42"/>
      <c r="HG14" s="42"/>
      <c r="HH14" s="42"/>
      <c r="HI14" s="42"/>
      <c r="HJ14" s="42"/>
      <c r="HK14" s="42"/>
      <c r="HL14" s="42"/>
      <c r="HM14" s="42"/>
      <c r="HN14" s="42"/>
      <c r="HO14" s="42"/>
      <c r="HP14" s="42"/>
      <c r="HQ14" s="42"/>
      <c r="HR14" s="42"/>
      <c r="HS14" s="42"/>
      <c r="HT14" s="42"/>
      <c r="HU14" s="42"/>
      <c r="HV14" s="42"/>
      <c r="HW14" s="42"/>
      <c r="HX14" s="42"/>
      <c r="HY14" s="42"/>
      <c r="HZ14" s="42"/>
      <c r="IA14" s="42"/>
      <c r="IB14" s="42"/>
      <c r="IC14" s="42"/>
      <c r="ID14" s="42"/>
      <c r="IE14" s="42"/>
      <c r="IF14" s="42"/>
      <c r="IG14" s="42"/>
      <c r="IH14" s="42"/>
      <c r="II14" s="42"/>
      <c r="IJ14" s="42"/>
      <c r="IK14" s="42"/>
      <c r="IL14" s="42"/>
      <c r="IM14" s="42"/>
      <c r="IN14" s="42"/>
      <c r="IO14" s="42"/>
      <c r="IP14" s="42"/>
      <c r="IQ14" s="42"/>
      <c r="IR14" s="42"/>
      <c r="IS14" s="42"/>
      <c r="IT14" s="42"/>
      <c r="IU14" s="42"/>
      <c r="IV14" s="42"/>
      <c r="IW14" s="42"/>
    </row>
    <row r="15" customFormat="false" ht="21" hidden="false" customHeight="true" outlineLevel="0" collapsed="false">
      <c r="A15" s="47" t="n">
        <v>1</v>
      </c>
      <c r="B15" s="69" t="s">
        <v>171</v>
      </c>
      <c r="C15" s="59" t="n">
        <v>6161.96</v>
      </c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2"/>
      <c r="EO15" s="42"/>
      <c r="EP15" s="42"/>
      <c r="EQ15" s="42"/>
      <c r="ER15" s="42"/>
      <c r="ES15" s="42"/>
      <c r="ET15" s="42"/>
      <c r="EU15" s="42"/>
      <c r="EV15" s="42"/>
      <c r="EW15" s="42"/>
      <c r="EX15" s="42"/>
      <c r="EY15" s="42"/>
      <c r="EZ15" s="42"/>
      <c r="FA15" s="42"/>
      <c r="FB15" s="42"/>
      <c r="FC15" s="42"/>
      <c r="FD15" s="42"/>
      <c r="FE15" s="42"/>
      <c r="FF15" s="42"/>
      <c r="FG15" s="42"/>
      <c r="FH15" s="42"/>
      <c r="FI15" s="42"/>
      <c r="FJ15" s="42"/>
      <c r="FK15" s="42"/>
      <c r="FL15" s="42"/>
      <c r="FM15" s="42"/>
      <c r="FN15" s="42"/>
      <c r="FO15" s="42"/>
      <c r="FP15" s="42"/>
      <c r="FQ15" s="42"/>
      <c r="FR15" s="42"/>
      <c r="FS15" s="42"/>
      <c r="FT15" s="42"/>
      <c r="FU15" s="42"/>
      <c r="FV15" s="42"/>
      <c r="FW15" s="42"/>
      <c r="FX15" s="42"/>
      <c r="FY15" s="42"/>
      <c r="FZ15" s="42"/>
      <c r="GA15" s="42"/>
      <c r="GB15" s="42"/>
      <c r="GC15" s="42"/>
      <c r="GD15" s="42"/>
      <c r="GE15" s="42"/>
      <c r="GF15" s="42"/>
      <c r="GG15" s="42"/>
      <c r="GH15" s="42"/>
      <c r="GI15" s="42"/>
      <c r="GJ15" s="42"/>
      <c r="GK15" s="42"/>
      <c r="GL15" s="42"/>
      <c r="GM15" s="42"/>
      <c r="GN15" s="42"/>
      <c r="GO15" s="42"/>
      <c r="GP15" s="42"/>
      <c r="GQ15" s="42"/>
      <c r="GR15" s="42"/>
      <c r="GS15" s="42"/>
      <c r="GT15" s="42"/>
      <c r="GU15" s="42"/>
      <c r="GV15" s="42"/>
      <c r="GW15" s="42"/>
      <c r="GX15" s="42"/>
      <c r="GY15" s="42"/>
      <c r="GZ15" s="42"/>
      <c r="HA15" s="42"/>
      <c r="HB15" s="42"/>
      <c r="HC15" s="42"/>
      <c r="HD15" s="42"/>
      <c r="HE15" s="42"/>
      <c r="HF15" s="42"/>
      <c r="HG15" s="42"/>
      <c r="HH15" s="42"/>
      <c r="HI15" s="42"/>
      <c r="HJ15" s="42"/>
      <c r="HK15" s="42"/>
      <c r="HL15" s="42"/>
      <c r="HM15" s="42"/>
      <c r="HN15" s="42"/>
      <c r="HO15" s="42"/>
      <c r="HP15" s="42"/>
      <c r="HQ15" s="42"/>
      <c r="HR15" s="42"/>
      <c r="HS15" s="42"/>
      <c r="HT15" s="42"/>
      <c r="HU15" s="42"/>
      <c r="HV15" s="42"/>
      <c r="HW15" s="42"/>
      <c r="HX15" s="42"/>
      <c r="HY15" s="42"/>
      <c r="HZ15" s="42"/>
      <c r="IA15" s="42"/>
      <c r="IB15" s="42"/>
      <c r="IC15" s="42"/>
      <c r="ID15" s="42"/>
      <c r="IE15" s="42"/>
      <c r="IF15" s="42"/>
      <c r="IG15" s="42"/>
      <c r="IH15" s="42"/>
      <c r="II15" s="42"/>
      <c r="IJ15" s="42"/>
      <c r="IK15" s="42"/>
      <c r="IL15" s="42"/>
      <c r="IM15" s="42"/>
      <c r="IN15" s="42"/>
      <c r="IO15" s="42"/>
      <c r="IP15" s="42"/>
      <c r="IQ15" s="42"/>
      <c r="IR15" s="42"/>
      <c r="IS15" s="42"/>
      <c r="IT15" s="42"/>
      <c r="IU15" s="42"/>
      <c r="IV15" s="42"/>
      <c r="IW15" s="42"/>
    </row>
    <row r="16" customFormat="false" ht="21" hidden="false" customHeight="true" outlineLevel="0" collapsed="false">
      <c r="A16" s="47" t="n">
        <v>1</v>
      </c>
      <c r="B16" s="69" t="s">
        <v>172</v>
      </c>
      <c r="C16" s="58" t="n">
        <v>6126.33</v>
      </c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2"/>
      <c r="DX16" s="42"/>
      <c r="DY16" s="42"/>
      <c r="DZ16" s="42"/>
      <c r="EA16" s="42"/>
      <c r="EB16" s="42"/>
      <c r="EC16" s="42"/>
      <c r="ED16" s="42"/>
      <c r="EE16" s="42"/>
      <c r="EF16" s="42"/>
      <c r="EG16" s="42"/>
      <c r="EH16" s="42"/>
      <c r="EI16" s="42"/>
      <c r="EJ16" s="42"/>
      <c r="EK16" s="42"/>
      <c r="EL16" s="42"/>
      <c r="EM16" s="42"/>
      <c r="EN16" s="42"/>
      <c r="EO16" s="42"/>
      <c r="EP16" s="42"/>
      <c r="EQ16" s="42"/>
      <c r="ER16" s="42"/>
      <c r="ES16" s="42"/>
      <c r="ET16" s="42"/>
      <c r="EU16" s="42"/>
      <c r="EV16" s="42"/>
      <c r="EW16" s="42"/>
      <c r="EX16" s="42"/>
      <c r="EY16" s="42"/>
      <c r="EZ16" s="42"/>
      <c r="FA16" s="42"/>
      <c r="FB16" s="42"/>
      <c r="FC16" s="42"/>
      <c r="FD16" s="42"/>
      <c r="FE16" s="42"/>
      <c r="FF16" s="42"/>
      <c r="FG16" s="42"/>
      <c r="FH16" s="42"/>
      <c r="FI16" s="42"/>
      <c r="FJ16" s="42"/>
      <c r="FK16" s="42"/>
      <c r="FL16" s="42"/>
      <c r="FM16" s="42"/>
      <c r="FN16" s="42"/>
      <c r="FO16" s="42"/>
      <c r="FP16" s="42"/>
      <c r="FQ16" s="42"/>
      <c r="FR16" s="42"/>
      <c r="FS16" s="42"/>
      <c r="FT16" s="42"/>
      <c r="FU16" s="42"/>
      <c r="FV16" s="42"/>
      <c r="FW16" s="42"/>
      <c r="FX16" s="42"/>
      <c r="FY16" s="42"/>
      <c r="FZ16" s="42"/>
      <c r="GA16" s="42"/>
      <c r="GB16" s="42"/>
      <c r="GC16" s="42"/>
      <c r="GD16" s="42"/>
      <c r="GE16" s="42"/>
      <c r="GF16" s="42"/>
      <c r="GG16" s="42"/>
      <c r="GH16" s="42"/>
      <c r="GI16" s="42"/>
      <c r="GJ16" s="42"/>
      <c r="GK16" s="42"/>
      <c r="GL16" s="42"/>
      <c r="GM16" s="42"/>
      <c r="GN16" s="42"/>
      <c r="GO16" s="42"/>
      <c r="GP16" s="42"/>
      <c r="GQ16" s="42"/>
      <c r="GR16" s="42"/>
      <c r="GS16" s="42"/>
      <c r="GT16" s="42"/>
      <c r="GU16" s="42"/>
      <c r="GV16" s="42"/>
      <c r="GW16" s="42"/>
      <c r="GX16" s="42"/>
      <c r="GY16" s="42"/>
      <c r="GZ16" s="42"/>
      <c r="HA16" s="42"/>
      <c r="HB16" s="42"/>
      <c r="HC16" s="42"/>
      <c r="HD16" s="42"/>
      <c r="HE16" s="42"/>
      <c r="HF16" s="42"/>
      <c r="HG16" s="42"/>
      <c r="HH16" s="42"/>
      <c r="HI16" s="42"/>
      <c r="HJ16" s="42"/>
      <c r="HK16" s="42"/>
      <c r="HL16" s="42"/>
      <c r="HM16" s="42"/>
      <c r="HN16" s="42"/>
      <c r="HO16" s="42"/>
      <c r="HP16" s="42"/>
      <c r="HQ16" s="42"/>
      <c r="HR16" s="42"/>
      <c r="HS16" s="42"/>
      <c r="HT16" s="42"/>
      <c r="HU16" s="42"/>
      <c r="HV16" s="42"/>
      <c r="HW16" s="42"/>
      <c r="HX16" s="42"/>
      <c r="HY16" s="42"/>
      <c r="HZ16" s="42"/>
      <c r="IA16" s="42"/>
      <c r="IB16" s="42"/>
      <c r="IC16" s="42"/>
      <c r="ID16" s="42"/>
      <c r="IE16" s="42"/>
      <c r="IF16" s="42"/>
      <c r="IG16" s="42"/>
      <c r="IH16" s="42"/>
      <c r="II16" s="42"/>
      <c r="IJ16" s="42"/>
      <c r="IK16" s="42"/>
      <c r="IL16" s="42"/>
      <c r="IM16" s="42"/>
      <c r="IN16" s="42"/>
      <c r="IO16" s="42"/>
      <c r="IP16" s="42"/>
      <c r="IQ16" s="42"/>
      <c r="IR16" s="42"/>
      <c r="IS16" s="42"/>
      <c r="IT16" s="42"/>
      <c r="IU16" s="42"/>
      <c r="IV16" s="42"/>
      <c r="IW16" s="42"/>
    </row>
    <row r="17" customFormat="false" ht="21" hidden="false" customHeight="true" outlineLevel="0" collapsed="false">
      <c r="A17" s="47" t="n">
        <v>1</v>
      </c>
      <c r="B17" s="69" t="s">
        <v>173</v>
      </c>
      <c r="C17" s="59" t="n">
        <v>5723.31</v>
      </c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  <c r="EO17" s="42"/>
      <c r="EP17" s="42"/>
      <c r="EQ17" s="42"/>
      <c r="ER17" s="42"/>
      <c r="ES17" s="42"/>
      <c r="ET17" s="42"/>
      <c r="EU17" s="42"/>
      <c r="EV17" s="42"/>
      <c r="EW17" s="42"/>
      <c r="EX17" s="42"/>
      <c r="EY17" s="42"/>
      <c r="EZ17" s="42"/>
      <c r="FA17" s="42"/>
      <c r="FB17" s="42"/>
      <c r="FC17" s="42"/>
      <c r="FD17" s="42"/>
      <c r="FE17" s="42"/>
      <c r="FF17" s="42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/>
      <c r="GL17" s="42"/>
      <c r="GM17" s="42"/>
      <c r="GN17" s="42"/>
      <c r="GO17" s="42"/>
      <c r="GP17" s="42"/>
      <c r="GQ17" s="42"/>
      <c r="GR17" s="42"/>
      <c r="GS17" s="42"/>
      <c r="GT17" s="42"/>
      <c r="GU17" s="42"/>
      <c r="GV17" s="42"/>
      <c r="GW17" s="42"/>
      <c r="GX17" s="42"/>
      <c r="GY17" s="42"/>
      <c r="GZ17" s="42"/>
      <c r="HA17" s="42"/>
      <c r="HB17" s="42"/>
      <c r="HC17" s="42"/>
      <c r="HD17" s="42"/>
      <c r="HE17" s="42"/>
      <c r="HF17" s="42"/>
      <c r="HG17" s="42"/>
      <c r="HH17" s="42"/>
      <c r="HI17" s="42"/>
      <c r="HJ17" s="42"/>
      <c r="HK17" s="42"/>
      <c r="HL17" s="42"/>
      <c r="HM17" s="42"/>
      <c r="HN17" s="42"/>
      <c r="HO17" s="42"/>
      <c r="HP17" s="42"/>
      <c r="HQ17" s="42"/>
      <c r="HR17" s="42"/>
      <c r="HS17" s="42"/>
      <c r="HT17" s="42"/>
      <c r="HU17" s="42"/>
      <c r="HV17" s="42"/>
      <c r="HW17" s="42"/>
      <c r="HX17" s="42"/>
      <c r="HY17" s="42"/>
      <c r="HZ17" s="42"/>
      <c r="IA17" s="42"/>
      <c r="IB17" s="42"/>
      <c r="IC17" s="42"/>
      <c r="ID17" s="42"/>
      <c r="IE17" s="42"/>
      <c r="IF17" s="42"/>
      <c r="IG17" s="42"/>
      <c r="IH17" s="42"/>
      <c r="II17" s="42"/>
      <c r="IJ17" s="42"/>
      <c r="IK17" s="42"/>
      <c r="IL17" s="42"/>
      <c r="IM17" s="42"/>
      <c r="IN17" s="42"/>
      <c r="IO17" s="42"/>
      <c r="IP17" s="42"/>
      <c r="IQ17" s="42"/>
      <c r="IR17" s="42"/>
      <c r="IS17" s="42"/>
      <c r="IT17" s="42"/>
      <c r="IU17" s="42"/>
      <c r="IV17" s="42"/>
      <c r="IW17" s="42"/>
    </row>
    <row r="18" customFormat="false" ht="21" hidden="false" customHeight="true" outlineLevel="0" collapsed="false">
      <c r="A18" s="72" t="s">
        <v>100</v>
      </c>
      <c r="B18" s="72"/>
      <c r="C18" s="92" t="n">
        <f aca="false">SUM(C8:C17)</f>
        <v>114982.31</v>
      </c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 s="42"/>
      <c r="DT18" s="42"/>
      <c r="DU18" s="42"/>
      <c r="DV18" s="42"/>
      <c r="DW18" s="42"/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/>
      <c r="EN18" s="42"/>
      <c r="EO18" s="42"/>
      <c r="EP18" s="42"/>
      <c r="EQ18" s="42"/>
      <c r="ER18" s="42"/>
      <c r="ES18" s="42"/>
      <c r="ET18" s="42"/>
      <c r="EU18" s="42"/>
      <c r="EV18" s="42"/>
      <c r="EW18" s="42"/>
      <c r="EX18" s="42"/>
      <c r="EY18" s="42"/>
      <c r="EZ18" s="42"/>
      <c r="FA18" s="42"/>
      <c r="FB18" s="42"/>
      <c r="FC18" s="42"/>
      <c r="FD18" s="42"/>
      <c r="FE18" s="42"/>
      <c r="FF18" s="42"/>
      <c r="FG18" s="42"/>
      <c r="FH18" s="42"/>
      <c r="FI18" s="42"/>
      <c r="FJ18" s="42"/>
      <c r="FK18" s="42"/>
      <c r="FL18" s="42"/>
      <c r="FM18" s="42"/>
      <c r="FN18" s="42"/>
      <c r="FO18" s="42"/>
      <c r="FP18" s="42"/>
      <c r="FQ18" s="42"/>
      <c r="FR18" s="42"/>
      <c r="FS18" s="42"/>
      <c r="FT18" s="42"/>
      <c r="FU18" s="42"/>
      <c r="FV18" s="42"/>
      <c r="FW18" s="42"/>
      <c r="FX18" s="42"/>
      <c r="FY18" s="42"/>
      <c r="FZ18" s="42"/>
      <c r="GA18" s="42"/>
      <c r="GB18" s="42"/>
      <c r="GC18" s="42"/>
      <c r="GD18" s="42"/>
      <c r="GE18" s="42"/>
      <c r="GF18" s="42"/>
      <c r="GG18" s="42"/>
      <c r="GH18" s="42"/>
      <c r="GI18" s="42"/>
      <c r="GJ18" s="42"/>
      <c r="GK18" s="42"/>
      <c r="GL18" s="42"/>
      <c r="GM18" s="42"/>
      <c r="GN18" s="42"/>
      <c r="GO18" s="42"/>
      <c r="GP18" s="42"/>
      <c r="GQ18" s="42"/>
      <c r="GR18" s="42"/>
      <c r="GS18" s="42"/>
      <c r="GT18" s="42"/>
      <c r="GU18" s="42"/>
      <c r="GV18" s="42"/>
      <c r="GW18" s="42"/>
      <c r="GX18" s="42"/>
      <c r="GY18" s="42"/>
      <c r="GZ18" s="42"/>
      <c r="HA18" s="42"/>
      <c r="HB18" s="42"/>
      <c r="HC18" s="42"/>
      <c r="HD18" s="42"/>
      <c r="HE18" s="42"/>
      <c r="HF18" s="42"/>
      <c r="HG18" s="42"/>
      <c r="HH18" s="42"/>
      <c r="HI18" s="42"/>
      <c r="HJ18" s="42"/>
      <c r="HK18" s="42"/>
      <c r="HL18" s="42"/>
      <c r="HM18" s="42"/>
      <c r="HN18" s="42"/>
      <c r="HO18" s="42"/>
      <c r="HP18" s="42"/>
      <c r="HQ18" s="42"/>
      <c r="HR18" s="42"/>
      <c r="HS18" s="42"/>
      <c r="HT18" s="42"/>
      <c r="HU18" s="42"/>
      <c r="HV18" s="42"/>
      <c r="HW18" s="42"/>
      <c r="HX18" s="42"/>
      <c r="HY18" s="42"/>
      <c r="HZ18" s="42"/>
      <c r="IA18" s="42"/>
      <c r="IB18" s="42"/>
      <c r="IC18" s="42"/>
      <c r="ID18" s="42"/>
      <c r="IE18" s="42"/>
      <c r="IF18" s="42"/>
      <c r="IG18" s="42"/>
      <c r="IH18" s="42"/>
      <c r="II18" s="42"/>
      <c r="IJ18" s="42"/>
      <c r="IK18" s="42"/>
      <c r="IL18" s="42"/>
      <c r="IM18" s="42"/>
      <c r="IN18" s="42"/>
      <c r="IO18" s="42"/>
      <c r="IP18" s="42"/>
      <c r="IQ18" s="42"/>
      <c r="IR18" s="42"/>
      <c r="IS18" s="42"/>
      <c r="IT18" s="42"/>
      <c r="IU18" s="42"/>
      <c r="IV18" s="42"/>
      <c r="IW18" s="42"/>
    </row>
    <row r="19" customFormat="false" ht="21" hidden="false" customHeight="true" outlineLevel="0" collapsed="false">
      <c r="A19" s="33" t="s">
        <v>161</v>
      </c>
      <c r="B19" s="33"/>
      <c r="C19" s="93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/>
      <c r="DI19" s="42"/>
      <c r="DJ19" s="42"/>
      <c r="DK19" s="42"/>
      <c r="DL19" s="42"/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42"/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42"/>
      <c r="FH19" s="42"/>
      <c r="FI19" s="42"/>
      <c r="FJ19" s="42"/>
      <c r="FK19" s="42"/>
      <c r="FL19" s="42"/>
      <c r="FM19" s="42"/>
      <c r="FN19" s="42"/>
      <c r="FO19" s="42"/>
      <c r="FP19" s="42"/>
      <c r="FQ19" s="42"/>
      <c r="FR19" s="42"/>
      <c r="FS19" s="42"/>
      <c r="FT19" s="42"/>
      <c r="FU19" s="42"/>
      <c r="FV19" s="42"/>
      <c r="FW19" s="42"/>
      <c r="FX19" s="42"/>
      <c r="FY19" s="42"/>
      <c r="FZ19" s="42"/>
      <c r="GA19" s="42"/>
      <c r="GB19" s="42"/>
      <c r="GC19" s="42"/>
      <c r="GD19" s="42"/>
      <c r="GE19" s="42"/>
      <c r="GF19" s="42"/>
      <c r="GG19" s="42"/>
      <c r="GH19" s="42"/>
      <c r="GI19" s="42"/>
      <c r="GJ19" s="42"/>
      <c r="GK19" s="42"/>
      <c r="GL19" s="42"/>
      <c r="GM19" s="42"/>
      <c r="GN19" s="42"/>
      <c r="GO19" s="42"/>
      <c r="GP19" s="42"/>
      <c r="GQ19" s="42"/>
      <c r="GR19" s="42"/>
      <c r="GS19" s="42"/>
      <c r="GT19" s="42"/>
      <c r="GU19" s="42"/>
      <c r="GV19" s="42"/>
      <c r="GW19" s="42"/>
      <c r="GX19" s="42"/>
      <c r="GY19" s="42"/>
      <c r="GZ19" s="42"/>
      <c r="HA19" s="42"/>
      <c r="HB19" s="42"/>
      <c r="HC19" s="42"/>
      <c r="HD19" s="42"/>
      <c r="HE19" s="42"/>
      <c r="HF19" s="42"/>
      <c r="HG19" s="42"/>
      <c r="HH19" s="42"/>
      <c r="HI19" s="42"/>
      <c r="HJ19" s="42"/>
      <c r="HK19" s="42"/>
      <c r="HL19" s="42"/>
      <c r="HM19" s="42"/>
      <c r="HN19" s="42"/>
      <c r="HO19" s="42"/>
      <c r="HP19" s="42"/>
      <c r="HQ19" s="42"/>
      <c r="HR19" s="42"/>
      <c r="HS19" s="42"/>
      <c r="HT19" s="42"/>
      <c r="HU19" s="42"/>
      <c r="HV19" s="42"/>
      <c r="HW19" s="42"/>
      <c r="HX19" s="42"/>
      <c r="HY19" s="42"/>
      <c r="HZ19" s="42"/>
      <c r="IA19" s="42"/>
      <c r="IB19" s="42"/>
      <c r="IC19" s="42"/>
      <c r="ID19" s="42"/>
      <c r="IE19" s="42"/>
      <c r="IF19" s="42"/>
      <c r="IG19" s="42"/>
      <c r="IH19" s="42"/>
      <c r="II19" s="42"/>
      <c r="IJ19" s="42"/>
      <c r="IK19" s="42"/>
      <c r="IL19" s="42"/>
      <c r="IM19" s="42"/>
      <c r="IN19" s="42"/>
      <c r="IO19" s="42"/>
      <c r="IP19" s="42"/>
      <c r="IQ19" s="42"/>
      <c r="IR19" s="42"/>
      <c r="IS19" s="42"/>
      <c r="IT19" s="42"/>
      <c r="IU19" s="42"/>
      <c r="IV19" s="42"/>
      <c r="IW19" s="42"/>
    </row>
    <row r="20" customFormat="false" ht="21" hidden="false" customHeight="true" outlineLevel="0" collapsed="false">
      <c r="A20" s="39" t="s">
        <v>82</v>
      </c>
      <c r="B20" s="39"/>
      <c r="C20" s="41" t="s">
        <v>83</v>
      </c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2"/>
      <c r="EE20" s="42"/>
      <c r="EF20" s="42"/>
      <c r="EG20" s="42"/>
      <c r="EH20" s="42"/>
      <c r="EI20" s="42"/>
      <c r="EJ20" s="42"/>
      <c r="EK20" s="42"/>
      <c r="EL20" s="42"/>
      <c r="EM20" s="42"/>
      <c r="EN20" s="42"/>
      <c r="EO20" s="42"/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2"/>
      <c r="FA20" s="42"/>
      <c r="FB20" s="42"/>
      <c r="FC20" s="42"/>
      <c r="FD20" s="42"/>
      <c r="FE20" s="42"/>
      <c r="FF20" s="42"/>
      <c r="FG20" s="42"/>
      <c r="FH20" s="42"/>
      <c r="FI20" s="42"/>
      <c r="FJ20" s="42"/>
      <c r="FK20" s="42"/>
      <c r="FL20" s="42"/>
      <c r="FM20" s="42"/>
      <c r="FN20" s="42"/>
      <c r="FO20" s="42"/>
      <c r="FP20" s="42"/>
      <c r="FQ20" s="42"/>
      <c r="FR20" s="42"/>
      <c r="FS20" s="42"/>
      <c r="FT20" s="42"/>
      <c r="FU20" s="42"/>
      <c r="FV20" s="42"/>
      <c r="FW20" s="42"/>
      <c r="FX20" s="42"/>
      <c r="FY20" s="42"/>
      <c r="FZ20" s="42"/>
      <c r="GA20" s="42"/>
      <c r="GB20" s="42"/>
      <c r="GC20" s="42"/>
      <c r="GD20" s="42"/>
      <c r="GE20" s="42"/>
      <c r="GF20" s="42"/>
      <c r="GG20" s="42"/>
      <c r="GH20" s="42"/>
      <c r="GI20" s="42"/>
      <c r="GJ20" s="42"/>
      <c r="GK20" s="42"/>
      <c r="GL20" s="42"/>
      <c r="GM20" s="42"/>
      <c r="GN20" s="42"/>
      <c r="GO20" s="42"/>
      <c r="GP20" s="42"/>
      <c r="GQ20" s="42"/>
      <c r="GR20" s="42"/>
      <c r="GS20" s="42"/>
      <c r="GT20" s="42"/>
      <c r="GU20" s="42"/>
      <c r="GV20" s="42"/>
      <c r="GW20" s="42"/>
      <c r="GX20" s="42"/>
      <c r="GY20" s="42"/>
      <c r="GZ20" s="42"/>
      <c r="HA20" s="42"/>
      <c r="HB20" s="42"/>
      <c r="HC20" s="42"/>
      <c r="HD20" s="42"/>
      <c r="HE20" s="42"/>
      <c r="HF20" s="42"/>
      <c r="HG20" s="42"/>
      <c r="HH20" s="42"/>
      <c r="HI20" s="42"/>
      <c r="HJ20" s="42"/>
      <c r="HK20" s="42"/>
      <c r="HL20" s="42"/>
      <c r="HM20" s="42"/>
      <c r="HN20" s="42"/>
      <c r="HO20" s="42"/>
      <c r="HP20" s="42"/>
      <c r="HQ20" s="42"/>
      <c r="HR20" s="42"/>
      <c r="HS20" s="42"/>
      <c r="HT20" s="42"/>
      <c r="HU20" s="42"/>
      <c r="HV20" s="42"/>
      <c r="HW20" s="42"/>
      <c r="HX20" s="42"/>
      <c r="HY20" s="42"/>
      <c r="HZ20" s="42"/>
      <c r="IA20" s="42"/>
      <c r="IB20" s="42"/>
      <c r="IC20" s="42"/>
      <c r="ID20" s="42"/>
      <c r="IE20" s="42"/>
      <c r="IF20" s="42"/>
      <c r="IG20" s="42"/>
      <c r="IH20" s="42"/>
      <c r="II20" s="42"/>
      <c r="IJ20" s="42"/>
      <c r="IK20" s="42"/>
      <c r="IL20" s="42"/>
      <c r="IM20" s="42"/>
      <c r="IN20" s="42"/>
      <c r="IO20" s="42"/>
      <c r="IP20" s="42"/>
      <c r="IQ20" s="42"/>
      <c r="IR20" s="42"/>
      <c r="IS20" s="42"/>
      <c r="IT20" s="42"/>
      <c r="IU20" s="42"/>
      <c r="IV20" s="42"/>
      <c r="IW20" s="42"/>
    </row>
    <row r="21" customFormat="false" ht="22.2" hidden="false" customHeight="true" outlineLevel="0" collapsed="false"/>
  </sheetData>
  <mergeCells count="9">
    <mergeCell ref="A3:C3"/>
    <mergeCell ref="A4:C4"/>
    <mergeCell ref="B5:C5"/>
    <mergeCell ref="A6:A7"/>
    <mergeCell ref="B6:B7"/>
    <mergeCell ref="C6:C7"/>
    <mergeCell ref="A18:B18"/>
    <mergeCell ref="A19:B19"/>
    <mergeCell ref="A20:B20"/>
  </mergeCells>
  <hyperlinks>
    <hyperlink ref="C20" location="'Index '!A1" display="Back to index"/>
  </hyperlinks>
  <printOptions headings="true" gridLines="false" gridLinesSet="true" horizontalCentered="false" verticalCentered="false"/>
  <pageMargins left="0.7" right="0.7" top="0.75" bottom="0.75" header="0.511811023622047" footer="0.511811023622047"/>
  <pageSetup paperSize="9" scale="1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3"/>
  <sheetViews>
    <sheetView showFormulas="false" showGridLines="false" showRowColHeaders="true" showZeros="true" rightToLeft="false" tabSelected="true" showOutlineSymbols="true" defaultGridColor="true" view="pageBreakPreview" topLeftCell="A11" colorId="64" zoomScale="122" zoomScaleNormal="100" zoomScalePageLayoutView="122" workbookViewId="0">
      <selection pane="topLeft" activeCell="D19" activeCellId="0" sqref="D19"/>
    </sheetView>
  </sheetViews>
  <sheetFormatPr defaultColWidth="9.1015625" defaultRowHeight="13.2" customHeight="false" zeroHeight="false" outlineLevelRow="0" outlineLevelCol="0"/>
  <cols>
    <col collapsed="false" customWidth="false" hidden="false" outlineLevel="0" max="1" min="1" style="7" width="9.1"/>
    <col collapsed="false" customWidth="true" hidden="false" outlineLevel="0" max="2" min="2" style="16" width="20.66"/>
    <col collapsed="false" customWidth="true" hidden="false" outlineLevel="0" max="3" min="3" style="7" width="32.66"/>
    <col collapsed="false" customWidth="true" hidden="false" outlineLevel="0" max="4" min="4" style="42" width="10.87"/>
    <col collapsed="false" customWidth="false" hidden="false" outlineLevel="0" max="5" min="5" style="42" width="9.1"/>
    <col collapsed="false" customWidth="true" hidden="false" outlineLevel="0" max="6" min="6" style="42" width="11.66"/>
    <col collapsed="false" customWidth="true" hidden="false" outlineLevel="0" max="7" min="7" style="42" width="14.1"/>
    <col collapsed="false" customWidth="true" hidden="false" outlineLevel="0" max="8" min="8" style="42" width="11.43"/>
    <col collapsed="false" customWidth="false" hidden="false" outlineLevel="0" max="9" min="9" style="42" width="9.1"/>
    <col collapsed="false" customWidth="true" hidden="false" outlineLevel="0" max="10" min="10" style="7" width="0.33"/>
    <col collapsed="false" customWidth="false" hidden="true" outlineLevel="0" max="12" min="11" style="7" width="9.1"/>
    <col collapsed="false" customWidth="false" hidden="false" outlineLevel="0" max="257" min="13" style="7" width="9.1"/>
  </cols>
  <sheetData>
    <row r="1" customFormat="false" ht="21" hidden="false" customHeight="true" outlineLevel="0" collapsed="false">
      <c r="C1" s="91" t="s">
        <v>17</v>
      </c>
    </row>
    <row r="2" customFormat="false" ht="21" hidden="false" customHeight="true" outlineLevel="0" collapsed="false"/>
    <row r="3" customFormat="false" ht="21" hidden="false" customHeight="true" outlineLevel="0" collapsed="false">
      <c r="A3" s="18"/>
      <c r="B3" s="18"/>
      <c r="C3" s="18"/>
    </row>
    <row r="4" customFormat="false" ht="54.75" hidden="false" customHeight="true" outlineLevel="0" collapsed="false">
      <c r="A4" s="20" t="s">
        <v>174</v>
      </c>
      <c r="B4" s="20"/>
      <c r="C4" s="20"/>
    </row>
    <row r="5" customFormat="false" ht="21" hidden="false" customHeight="true" outlineLevel="0" collapsed="false">
      <c r="B5" s="21"/>
      <c r="C5" s="21"/>
    </row>
    <row r="6" customFormat="false" ht="21" hidden="false" customHeight="true" outlineLevel="0" collapsed="false">
      <c r="A6" s="79" t="s">
        <v>19</v>
      </c>
      <c r="B6" s="45" t="s">
        <v>149</v>
      </c>
      <c r="C6" s="45" t="s">
        <v>150</v>
      </c>
    </row>
    <row r="7" customFormat="false" ht="21" hidden="false" customHeight="true" outlineLevel="0" collapsed="false">
      <c r="A7" s="79" t="n">
        <v>1</v>
      </c>
      <c r="B7" s="45"/>
      <c r="C7" s="45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  <c r="EY7" s="42"/>
      <c r="EZ7" s="42"/>
      <c r="FA7" s="42"/>
      <c r="FB7" s="42"/>
      <c r="FC7" s="42"/>
      <c r="FD7" s="42"/>
      <c r="FE7" s="42"/>
      <c r="FF7" s="42"/>
      <c r="FG7" s="42"/>
      <c r="FH7" s="42"/>
      <c r="FI7" s="42"/>
      <c r="FJ7" s="42"/>
      <c r="FK7" s="42"/>
      <c r="FL7" s="42"/>
      <c r="FM7" s="42"/>
      <c r="FN7" s="42"/>
      <c r="FO7" s="42"/>
      <c r="FP7" s="42"/>
      <c r="FQ7" s="42"/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</row>
    <row r="8" customFormat="false" ht="21" hidden="false" customHeight="true" outlineLevel="0" collapsed="false">
      <c r="A8" s="47" t="n">
        <v>1</v>
      </c>
      <c r="B8" s="69" t="s">
        <v>152</v>
      </c>
      <c r="C8" s="58" t="n">
        <v>62617.59</v>
      </c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  <c r="EY8" s="42"/>
      <c r="EZ8" s="42"/>
      <c r="FA8" s="42"/>
      <c r="FB8" s="42"/>
      <c r="FC8" s="42"/>
      <c r="FD8" s="42"/>
      <c r="FE8" s="42"/>
      <c r="FF8" s="42"/>
      <c r="FG8" s="42"/>
      <c r="FH8" s="42"/>
      <c r="FI8" s="42"/>
      <c r="FJ8" s="42"/>
      <c r="FK8" s="42"/>
      <c r="FL8" s="42"/>
      <c r="FM8" s="42"/>
      <c r="FN8" s="42"/>
      <c r="FO8" s="42"/>
      <c r="FP8" s="42"/>
      <c r="FQ8" s="42"/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</row>
    <row r="9" customFormat="false" ht="21" hidden="false" customHeight="true" outlineLevel="0" collapsed="false">
      <c r="A9" s="47" t="n">
        <v>1</v>
      </c>
      <c r="B9" s="69" t="s">
        <v>160</v>
      </c>
      <c r="C9" s="59" t="n">
        <v>35636.94</v>
      </c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  <c r="EY9" s="42"/>
      <c r="EZ9" s="42"/>
      <c r="FA9" s="42"/>
      <c r="FB9" s="42"/>
      <c r="FC9" s="42"/>
      <c r="FD9" s="42"/>
      <c r="FE9" s="42"/>
      <c r="FF9" s="42"/>
      <c r="FG9" s="42"/>
      <c r="FH9" s="42"/>
      <c r="FI9" s="42"/>
      <c r="FJ9" s="42"/>
      <c r="FK9" s="42"/>
      <c r="FL9" s="42"/>
      <c r="FM9" s="42"/>
      <c r="FN9" s="42"/>
      <c r="FO9" s="42"/>
      <c r="FP9" s="42"/>
      <c r="FQ9" s="42"/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</row>
    <row r="10" customFormat="false" ht="21" hidden="false" customHeight="true" outlineLevel="0" collapsed="false">
      <c r="A10" s="47" t="n">
        <v>1</v>
      </c>
      <c r="B10" s="69" t="s">
        <v>154</v>
      </c>
      <c r="C10" s="58" t="n">
        <v>29390.53</v>
      </c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2"/>
      <c r="FA10" s="42"/>
      <c r="FB10" s="42"/>
      <c r="FC10" s="42"/>
      <c r="FD10" s="42"/>
      <c r="FE10" s="42"/>
      <c r="FF10" s="42"/>
      <c r="FG10" s="42"/>
      <c r="FH10" s="42"/>
      <c r="FI10" s="42"/>
      <c r="FJ10" s="42"/>
      <c r="FK10" s="42"/>
      <c r="FL10" s="42"/>
      <c r="FM10" s="42"/>
      <c r="FN10" s="42"/>
      <c r="FO10" s="42"/>
      <c r="FP10" s="42"/>
      <c r="FQ10" s="42"/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  <c r="IU10" s="42"/>
      <c r="IV10" s="42"/>
      <c r="IW10" s="42"/>
    </row>
    <row r="11" customFormat="false" ht="21" hidden="false" customHeight="true" outlineLevel="0" collapsed="false">
      <c r="A11" s="47" t="n">
        <v>1</v>
      </c>
      <c r="B11" s="69" t="s">
        <v>175</v>
      </c>
      <c r="C11" s="59" t="n">
        <v>27901.45</v>
      </c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2"/>
      <c r="FG11" s="42"/>
      <c r="FH11" s="42"/>
      <c r="FI11" s="42"/>
      <c r="FJ11" s="42"/>
      <c r="FK11" s="42"/>
      <c r="FL11" s="42"/>
      <c r="FM11" s="42"/>
      <c r="FN11" s="42"/>
      <c r="FO11" s="42"/>
      <c r="FP11" s="42"/>
      <c r="FQ11" s="42"/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2"/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2"/>
      <c r="IR11" s="42"/>
      <c r="IS11" s="42"/>
      <c r="IT11" s="42"/>
      <c r="IU11" s="42"/>
      <c r="IV11" s="42"/>
      <c r="IW11" s="42"/>
    </row>
    <row r="12" customFormat="false" ht="21" hidden="false" customHeight="true" outlineLevel="0" collapsed="false">
      <c r="A12" s="47" t="n">
        <v>1</v>
      </c>
      <c r="B12" s="69" t="s">
        <v>157</v>
      </c>
      <c r="C12" s="58" t="n">
        <v>24189.87</v>
      </c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42"/>
      <c r="FH12" s="42"/>
      <c r="FI12" s="42"/>
      <c r="FJ12" s="42"/>
      <c r="FK12" s="42"/>
      <c r="FL12" s="42"/>
      <c r="FM12" s="42"/>
      <c r="FN12" s="42"/>
      <c r="FO12" s="42"/>
      <c r="FP12" s="42"/>
      <c r="FQ12" s="42"/>
      <c r="FR12" s="42"/>
      <c r="FS12" s="42"/>
      <c r="FT12" s="42"/>
      <c r="FU12" s="42"/>
      <c r="FV12" s="42"/>
      <c r="FW12" s="42"/>
      <c r="FX12" s="42"/>
      <c r="FY12" s="42"/>
      <c r="FZ12" s="42"/>
      <c r="GA12" s="42"/>
      <c r="GB12" s="42"/>
      <c r="GC12" s="42"/>
      <c r="GD12" s="42"/>
      <c r="GE12" s="42"/>
      <c r="GF12" s="42"/>
      <c r="GG12" s="42"/>
      <c r="GH12" s="42"/>
      <c r="GI12" s="42"/>
      <c r="GJ12" s="42"/>
      <c r="GK12" s="42"/>
      <c r="GL12" s="42"/>
      <c r="GM12" s="42"/>
      <c r="GN12" s="42"/>
      <c r="GO12" s="42"/>
      <c r="GP12" s="42"/>
      <c r="GQ12" s="42"/>
      <c r="GR12" s="42"/>
      <c r="GS12" s="42"/>
      <c r="GT12" s="42"/>
      <c r="GU12" s="42"/>
      <c r="GV12" s="42"/>
      <c r="GW12" s="42"/>
      <c r="GX12" s="42"/>
      <c r="GY12" s="42"/>
      <c r="GZ12" s="42"/>
      <c r="HA12" s="42"/>
      <c r="HB12" s="42"/>
      <c r="HC12" s="42"/>
      <c r="HD12" s="42"/>
      <c r="HE12" s="42"/>
      <c r="HF12" s="42"/>
      <c r="HG12" s="42"/>
      <c r="HH12" s="42"/>
      <c r="HI12" s="42"/>
      <c r="HJ12" s="42"/>
      <c r="HK12" s="42"/>
      <c r="HL12" s="42"/>
      <c r="HM12" s="42"/>
      <c r="HN12" s="42"/>
      <c r="HO12" s="42"/>
      <c r="HP12" s="42"/>
      <c r="HQ12" s="42"/>
      <c r="HR12" s="42"/>
      <c r="HS12" s="42"/>
      <c r="HT12" s="42"/>
      <c r="HU12" s="42"/>
      <c r="HV12" s="42"/>
      <c r="HW12" s="42"/>
      <c r="HX12" s="42"/>
      <c r="HY12" s="42"/>
      <c r="HZ12" s="42"/>
      <c r="IA12" s="42"/>
      <c r="IB12" s="42"/>
      <c r="IC12" s="42"/>
      <c r="ID12" s="42"/>
      <c r="IE12" s="42"/>
      <c r="IF12" s="42"/>
      <c r="IG12" s="42"/>
      <c r="IH12" s="42"/>
      <c r="II12" s="42"/>
      <c r="IJ12" s="42"/>
      <c r="IK12" s="42"/>
      <c r="IL12" s="42"/>
      <c r="IM12" s="42"/>
      <c r="IN12" s="42"/>
      <c r="IO12" s="42"/>
      <c r="IP12" s="42"/>
      <c r="IQ12" s="42"/>
      <c r="IR12" s="42"/>
      <c r="IS12" s="42"/>
      <c r="IT12" s="42"/>
      <c r="IU12" s="42"/>
      <c r="IV12" s="42"/>
      <c r="IW12" s="42"/>
    </row>
    <row r="13" customFormat="false" ht="21" hidden="false" customHeight="true" outlineLevel="0" collapsed="false">
      <c r="A13" s="47" t="n">
        <v>1</v>
      </c>
      <c r="B13" s="69" t="s">
        <v>166</v>
      </c>
      <c r="C13" s="59" t="n">
        <v>17359.96</v>
      </c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42"/>
      <c r="FH13" s="42"/>
      <c r="FI13" s="42"/>
      <c r="FJ13" s="42"/>
      <c r="FK13" s="42"/>
      <c r="FL13" s="42"/>
      <c r="FM13" s="42"/>
      <c r="FN13" s="42"/>
      <c r="FO13" s="42"/>
      <c r="FP13" s="42"/>
      <c r="FQ13" s="42"/>
      <c r="FR13" s="42"/>
      <c r="FS13" s="42"/>
      <c r="FT13" s="42"/>
      <c r="FU13" s="42"/>
      <c r="FV13" s="42"/>
      <c r="FW13" s="42"/>
      <c r="FX13" s="42"/>
      <c r="FY13" s="42"/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42"/>
      <c r="GO13" s="42"/>
      <c r="GP13" s="42"/>
      <c r="GQ13" s="42"/>
      <c r="GR13" s="42"/>
      <c r="GS13" s="42"/>
      <c r="GT13" s="42"/>
      <c r="GU13" s="42"/>
      <c r="GV13" s="42"/>
      <c r="GW13" s="42"/>
      <c r="GX13" s="42"/>
      <c r="GY13" s="42"/>
      <c r="GZ13" s="42"/>
      <c r="HA13" s="42"/>
      <c r="HB13" s="42"/>
      <c r="HC13" s="42"/>
      <c r="HD13" s="42"/>
      <c r="HE13" s="42"/>
      <c r="HF13" s="42"/>
      <c r="HG13" s="42"/>
      <c r="HH13" s="42"/>
      <c r="HI13" s="42"/>
      <c r="HJ13" s="42"/>
      <c r="HK13" s="42"/>
      <c r="HL13" s="42"/>
      <c r="HM13" s="42"/>
      <c r="HN13" s="42"/>
      <c r="HO13" s="42"/>
      <c r="HP13" s="42"/>
      <c r="HQ13" s="42"/>
      <c r="HR13" s="42"/>
      <c r="HS13" s="42"/>
      <c r="HT13" s="42"/>
      <c r="HU13" s="42"/>
      <c r="HV13" s="42"/>
      <c r="HW13" s="42"/>
      <c r="HX13" s="42"/>
      <c r="HY13" s="42"/>
      <c r="HZ13" s="42"/>
      <c r="IA13" s="42"/>
      <c r="IB13" s="42"/>
      <c r="IC13" s="42"/>
      <c r="ID13" s="42"/>
      <c r="IE13" s="42"/>
      <c r="IF13" s="42"/>
      <c r="IG13" s="42"/>
      <c r="IH13" s="42"/>
      <c r="II13" s="42"/>
      <c r="IJ13" s="42"/>
      <c r="IK13" s="42"/>
      <c r="IL13" s="42"/>
      <c r="IM13" s="42"/>
      <c r="IN13" s="42"/>
      <c r="IO13" s="42"/>
      <c r="IP13" s="42"/>
      <c r="IQ13" s="42"/>
      <c r="IR13" s="42"/>
      <c r="IS13" s="42"/>
      <c r="IT13" s="42"/>
      <c r="IU13" s="42"/>
      <c r="IV13" s="42"/>
      <c r="IW13" s="42"/>
    </row>
    <row r="14" customFormat="false" ht="21" hidden="false" customHeight="true" outlineLevel="0" collapsed="false">
      <c r="A14" s="47" t="n">
        <v>1</v>
      </c>
      <c r="B14" s="69" t="s">
        <v>153</v>
      </c>
      <c r="C14" s="58" t="n">
        <v>16978.65</v>
      </c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2"/>
      <c r="FH14" s="42"/>
      <c r="FI14" s="42"/>
      <c r="FJ14" s="42"/>
      <c r="FK14" s="42"/>
      <c r="FL14" s="42"/>
      <c r="FM14" s="42"/>
      <c r="FN14" s="42"/>
      <c r="FO14" s="42"/>
      <c r="FP14" s="42"/>
      <c r="FQ14" s="42"/>
      <c r="FR14" s="42"/>
      <c r="FS14" s="42"/>
      <c r="FT14" s="42"/>
      <c r="FU14" s="42"/>
      <c r="FV14" s="42"/>
      <c r="FW14" s="42"/>
      <c r="FX14" s="42"/>
      <c r="FY14" s="42"/>
      <c r="FZ14" s="42"/>
      <c r="GA14" s="42"/>
      <c r="GB14" s="42"/>
      <c r="GC14" s="42"/>
      <c r="GD14" s="42"/>
      <c r="GE14" s="42"/>
      <c r="GF14" s="42"/>
      <c r="GG14" s="42"/>
      <c r="GH14" s="42"/>
      <c r="GI14" s="42"/>
      <c r="GJ14" s="42"/>
      <c r="GK14" s="42"/>
      <c r="GL14" s="42"/>
      <c r="GM14" s="42"/>
      <c r="GN14" s="42"/>
      <c r="GO14" s="42"/>
      <c r="GP14" s="42"/>
      <c r="GQ14" s="42"/>
      <c r="GR14" s="42"/>
      <c r="GS14" s="42"/>
      <c r="GT14" s="42"/>
      <c r="GU14" s="42"/>
      <c r="GV14" s="42"/>
      <c r="GW14" s="42"/>
      <c r="GX14" s="42"/>
      <c r="GY14" s="42"/>
      <c r="GZ14" s="42"/>
      <c r="HA14" s="42"/>
      <c r="HB14" s="42"/>
      <c r="HC14" s="42"/>
      <c r="HD14" s="42"/>
      <c r="HE14" s="42"/>
      <c r="HF14" s="42"/>
      <c r="HG14" s="42"/>
      <c r="HH14" s="42"/>
      <c r="HI14" s="42"/>
      <c r="HJ14" s="42"/>
      <c r="HK14" s="42"/>
      <c r="HL14" s="42"/>
      <c r="HM14" s="42"/>
      <c r="HN14" s="42"/>
      <c r="HO14" s="42"/>
      <c r="HP14" s="42"/>
      <c r="HQ14" s="42"/>
      <c r="HR14" s="42"/>
      <c r="HS14" s="42"/>
      <c r="HT14" s="42"/>
      <c r="HU14" s="42"/>
      <c r="HV14" s="42"/>
      <c r="HW14" s="42"/>
      <c r="HX14" s="42"/>
      <c r="HY14" s="42"/>
      <c r="HZ14" s="42"/>
      <c r="IA14" s="42"/>
      <c r="IB14" s="42"/>
      <c r="IC14" s="42"/>
      <c r="ID14" s="42"/>
      <c r="IE14" s="42"/>
      <c r="IF14" s="42"/>
      <c r="IG14" s="42"/>
      <c r="IH14" s="42"/>
      <c r="II14" s="42"/>
      <c r="IJ14" s="42"/>
      <c r="IK14" s="42"/>
      <c r="IL14" s="42"/>
      <c r="IM14" s="42"/>
      <c r="IN14" s="42"/>
      <c r="IO14" s="42"/>
      <c r="IP14" s="42"/>
      <c r="IQ14" s="42"/>
      <c r="IR14" s="42"/>
      <c r="IS14" s="42"/>
      <c r="IT14" s="42"/>
      <c r="IU14" s="42"/>
      <c r="IV14" s="42"/>
      <c r="IW14" s="42"/>
    </row>
    <row r="15" customFormat="false" ht="21" hidden="false" customHeight="true" outlineLevel="0" collapsed="false">
      <c r="A15" s="47" t="n">
        <v>1</v>
      </c>
      <c r="B15" s="69" t="s">
        <v>155</v>
      </c>
      <c r="C15" s="59" t="n">
        <v>16436.1</v>
      </c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2"/>
      <c r="EO15" s="42"/>
      <c r="EP15" s="42"/>
      <c r="EQ15" s="42"/>
      <c r="ER15" s="42"/>
      <c r="ES15" s="42"/>
      <c r="ET15" s="42"/>
      <c r="EU15" s="42"/>
      <c r="EV15" s="42"/>
      <c r="EW15" s="42"/>
      <c r="EX15" s="42"/>
      <c r="EY15" s="42"/>
      <c r="EZ15" s="42"/>
      <c r="FA15" s="42"/>
      <c r="FB15" s="42"/>
      <c r="FC15" s="42"/>
      <c r="FD15" s="42"/>
      <c r="FE15" s="42"/>
      <c r="FF15" s="42"/>
      <c r="FG15" s="42"/>
      <c r="FH15" s="42"/>
      <c r="FI15" s="42"/>
      <c r="FJ15" s="42"/>
      <c r="FK15" s="42"/>
      <c r="FL15" s="42"/>
      <c r="FM15" s="42"/>
      <c r="FN15" s="42"/>
      <c r="FO15" s="42"/>
      <c r="FP15" s="42"/>
      <c r="FQ15" s="42"/>
      <c r="FR15" s="42"/>
      <c r="FS15" s="42"/>
      <c r="FT15" s="42"/>
      <c r="FU15" s="42"/>
      <c r="FV15" s="42"/>
      <c r="FW15" s="42"/>
      <c r="FX15" s="42"/>
      <c r="FY15" s="42"/>
      <c r="FZ15" s="42"/>
      <c r="GA15" s="42"/>
      <c r="GB15" s="42"/>
      <c r="GC15" s="42"/>
      <c r="GD15" s="42"/>
      <c r="GE15" s="42"/>
      <c r="GF15" s="42"/>
      <c r="GG15" s="42"/>
      <c r="GH15" s="42"/>
      <c r="GI15" s="42"/>
      <c r="GJ15" s="42"/>
      <c r="GK15" s="42"/>
      <c r="GL15" s="42"/>
      <c r="GM15" s="42"/>
      <c r="GN15" s="42"/>
      <c r="GO15" s="42"/>
      <c r="GP15" s="42"/>
      <c r="GQ15" s="42"/>
      <c r="GR15" s="42"/>
      <c r="GS15" s="42"/>
      <c r="GT15" s="42"/>
      <c r="GU15" s="42"/>
      <c r="GV15" s="42"/>
      <c r="GW15" s="42"/>
      <c r="GX15" s="42"/>
      <c r="GY15" s="42"/>
      <c r="GZ15" s="42"/>
      <c r="HA15" s="42"/>
      <c r="HB15" s="42"/>
      <c r="HC15" s="42"/>
      <c r="HD15" s="42"/>
      <c r="HE15" s="42"/>
      <c r="HF15" s="42"/>
      <c r="HG15" s="42"/>
      <c r="HH15" s="42"/>
      <c r="HI15" s="42"/>
      <c r="HJ15" s="42"/>
      <c r="HK15" s="42"/>
      <c r="HL15" s="42"/>
      <c r="HM15" s="42"/>
      <c r="HN15" s="42"/>
      <c r="HO15" s="42"/>
      <c r="HP15" s="42"/>
      <c r="HQ15" s="42"/>
      <c r="HR15" s="42"/>
      <c r="HS15" s="42"/>
      <c r="HT15" s="42"/>
      <c r="HU15" s="42"/>
      <c r="HV15" s="42"/>
      <c r="HW15" s="42"/>
      <c r="HX15" s="42"/>
      <c r="HY15" s="42"/>
      <c r="HZ15" s="42"/>
      <c r="IA15" s="42"/>
      <c r="IB15" s="42"/>
      <c r="IC15" s="42"/>
      <c r="ID15" s="42"/>
      <c r="IE15" s="42"/>
      <c r="IF15" s="42"/>
      <c r="IG15" s="42"/>
      <c r="IH15" s="42"/>
      <c r="II15" s="42"/>
      <c r="IJ15" s="42"/>
      <c r="IK15" s="42"/>
      <c r="IL15" s="42"/>
      <c r="IM15" s="42"/>
      <c r="IN15" s="42"/>
      <c r="IO15" s="42"/>
      <c r="IP15" s="42"/>
      <c r="IQ15" s="42"/>
      <c r="IR15" s="42"/>
      <c r="IS15" s="42"/>
      <c r="IT15" s="42"/>
      <c r="IU15" s="42"/>
      <c r="IV15" s="42"/>
      <c r="IW15" s="42"/>
    </row>
    <row r="16" customFormat="false" ht="21" hidden="false" customHeight="true" outlineLevel="0" collapsed="false">
      <c r="A16" s="47" t="n">
        <v>1</v>
      </c>
      <c r="B16" s="69" t="s">
        <v>170</v>
      </c>
      <c r="C16" s="58" t="n">
        <v>12967.78</v>
      </c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2"/>
      <c r="DX16" s="42"/>
      <c r="DY16" s="42"/>
      <c r="DZ16" s="42"/>
      <c r="EA16" s="42"/>
      <c r="EB16" s="42"/>
      <c r="EC16" s="42"/>
      <c r="ED16" s="42"/>
      <c r="EE16" s="42"/>
      <c r="EF16" s="42"/>
      <c r="EG16" s="42"/>
      <c r="EH16" s="42"/>
      <c r="EI16" s="42"/>
      <c r="EJ16" s="42"/>
      <c r="EK16" s="42"/>
      <c r="EL16" s="42"/>
      <c r="EM16" s="42"/>
      <c r="EN16" s="42"/>
      <c r="EO16" s="42"/>
      <c r="EP16" s="42"/>
      <c r="EQ16" s="42"/>
      <c r="ER16" s="42"/>
      <c r="ES16" s="42"/>
      <c r="ET16" s="42"/>
      <c r="EU16" s="42"/>
      <c r="EV16" s="42"/>
      <c r="EW16" s="42"/>
      <c r="EX16" s="42"/>
      <c r="EY16" s="42"/>
      <c r="EZ16" s="42"/>
      <c r="FA16" s="42"/>
      <c r="FB16" s="42"/>
      <c r="FC16" s="42"/>
      <c r="FD16" s="42"/>
      <c r="FE16" s="42"/>
      <c r="FF16" s="42"/>
      <c r="FG16" s="42"/>
      <c r="FH16" s="42"/>
      <c r="FI16" s="42"/>
      <c r="FJ16" s="42"/>
      <c r="FK16" s="42"/>
      <c r="FL16" s="42"/>
      <c r="FM16" s="42"/>
      <c r="FN16" s="42"/>
      <c r="FO16" s="42"/>
      <c r="FP16" s="42"/>
      <c r="FQ16" s="42"/>
      <c r="FR16" s="42"/>
      <c r="FS16" s="42"/>
      <c r="FT16" s="42"/>
      <c r="FU16" s="42"/>
      <c r="FV16" s="42"/>
      <c r="FW16" s="42"/>
      <c r="FX16" s="42"/>
      <c r="FY16" s="42"/>
      <c r="FZ16" s="42"/>
      <c r="GA16" s="42"/>
      <c r="GB16" s="42"/>
      <c r="GC16" s="42"/>
      <c r="GD16" s="42"/>
      <c r="GE16" s="42"/>
      <c r="GF16" s="42"/>
      <c r="GG16" s="42"/>
      <c r="GH16" s="42"/>
      <c r="GI16" s="42"/>
      <c r="GJ16" s="42"/>
      <c r="GK16" s="42"/>
      <c r="GL16" s="42"/>
      <c r="GM16" s="42"/>
      <c r="GN16" s="42"/>
      <c r="GO16" s="42"/>
      <c r="GP16" s="42"/>
      <c r="GQ16" s="42"/>
      <c r="GR16" s="42"/>
      <c r="GS16" s="42"/>
      <c r="GT16" s="42"/>
      <c r="GU16" s="42"/>
      <c r="GV16" s="42"/>
      <c r="GW16" s="42"/>
      <c r="GX16" s="42"/>
      <c r="GY16" s="42"/>
      <c r="GZ16" s="42"/>
      <c r="HA16" s="42"/>
      <c r="HB16" s="42"/>
      <c r="HC16" s="42"/>
      <c r="HD16" s="42"/>
      <c r="HE16" s="42"/>
      <c r="HF16" s="42"/>
      <c r="HG16" s="42"/>
      <c r="HH16" s="42"/>
      <c r="HI16" s="42"/>
      <c r="HJ16" s="42"/>
      <c r="HK16" s="42"/>
      <c r="HL16" s="42"/>
      <c r="HM16" s="42"/>
      <c r="HN16" s="42"/>
      <c r="HO16" s="42"/>
      <c r="HP16" s="42"/>
      <c r="HQ16" s="42"/>
      <c r="HR16" s="42"/>
      <c r="HS16" s="42"/>
      <c r="HT16" s="42"/>
      <c r="HU16" s="42"/>
      <c r="HV16" s="42"/>
      <c r="HW16" s="42"/>
      <c r="HX16" s="42"/>
      <c r="HY16" s="42"/>
      <c r="HZ16" s="42"/>
      <c r="IA16" s="42"/>
      <c r="IB16" s="42"/>
      <c r="IC16" s="42"/>
      <c r="ID16" s="42"/>
      <c r="IE16" s="42"/>
      <c r="IF16" s="42"/>
      <c r="IG16" s="42"/>
      <c r="IH16" s="42"/>
      <c r="II16" s="42"/>
      <c r="IJ16" s="42"/>
      <c r="IK16" s="42"/>
      <c r="IL16" s="42"/>
      <c r="IM16" s="42"/>
      <c r="IN16" s="42"/>
      <c r="IO16" s="42"/>
      <c r="IP16" s="42"/>
      <c r="IQ16" s="42"/>
      <c r="IR16" s="42"/>
      <c r="IS16" s="42"/>
      <c r="IT16" s="42"/>
      <c r="IU16" s="42"/>
      <c r="IV16" s="42"/>
      <c r="IW16" s="42"/>
    </row>
    <row r="17" customFormat="false" ht="21" hidden="false" customHeight="true" outlineLevel="0" collapsed="false">
      <c r="A17" s="47" t="n">
        <v>1</v>
      </c>
      <c r="B17" s="69" t="s">
        <v>176</v>
      </c>
      <c r="C17" s="59" t="n">
        <v>12550.68</v>
      </c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  <c r="EO17" s="42"/>
      <c r="EP17" s="42"/>
      <c r="EQ17" s="42"/>
      <c r="ER17" s="42"/>
      <c r="ES17" s="42"/>
      <c r="ET17" s="42"/>
      <c r="EU17" s="42"/>
      <c r="EV17" s="42"/>
      <c r="EW17" s="42"/>
      <c r="EX17" s="42"/>
      <c r="EY17" s="42"/>
      <c r="EZ17" s="42"/>
      <c r="FA17" s="42"/>
      <c r="FB17" s="42"/>
      <c r="FC17" s="42"/>
      <c r="FD17" s="42"/>
      <c r="FE17" s="42"/>
      <c r="FF17" s="42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/>
      <c r="GL17" s="42"/>
      <c r="GM17" s="42"/>
      <c r="GN17" s="42"/>
      <c r="GO17" s="42"/>
      <c r="GP17" s="42"/>
      <c r="GQ17" s="42"/>
      <c r="GR17" s="42"/>
      <c r="GS17" s="42"/>
      <c r="GT17" s="42"/>
      <c r="GU17" s="42"/>
      <c r="GV17" s="42"/>
      <c r="GW17" s="42"/>
      <c r="GX17" s="42"/>
      <c r="GY17" s="42"/>
      <c r="GZ17" s="42"/>
      <c r="HA17" s="42"/>
      <c r="HB17" s="42"/>
      <c r="HC17" s="42"/>
      <c r="HD17" s="42"/>
      <c r="HE17" s="42"/>
      <c r="HF17" s="42"/>
      <c r="HG17" s="42"/>
      <c r="HH17" s="42"/>
      <c r="HI17" s="42"/>
      <c r="HJ17" s="42"/>
      <c r="HK17" s="42"/>
      <c r="HL17" s="42"/>
      <c r="HM17" s="42"/>
      <c r="HN17" s="42"/>
      <c r="HO17" s="42"/>
      <c r="HP17" s="42"/>
      <c r="HQ17" s="42"/>
      <c r="HR17" s="42"/>
      <c r="HS17" s="42"/>
      <c r="HT17" s="42"/>
      <c r="HU17" s="42"/>
      <c r="HV17" s="42"/>
      <c r="HW17" s="42"/>
      <c r="HX17" s="42"/>
      <c r="HY17" s="42"/>
      <c r="HZ17" s="42"/>
      <c r="IA17" s="42"/>
      <c r="IB17" s="42"/>
      <c r="IC17" s="42"/>
      <c r="ID17" s="42"/>
      <c r="IE17" s="42"/>
      <c r="IF17" s="42"/>
      <c r="IG17" s="42"/>
      <c r="IH17" s="42"/>
      <c r="II17" s="42"/>
      <c r="IJ17" s="42"/>
      <c r="IK17" s="42"/>
      <c r="IL17" s="42"/>
      <c r="IM17" s="42"/>
      <c r="IN17" s="42"/>
      <c r="IO17" s="42"/>
      <c r="IP17" s="42"/>
      <c r="IQ17" s="42"/>
      <c r="IR17" s="42"/>
      <c r="IS17" s="42"/>
      <c r="IT17" s="42"/>
      <c r="IU17" s="42"/>
      <c r="IV17" s="42"/>
      <c r="IW17" s="42"/>
    </row>
    <row r="18" customFormat="false" ht="21" hidden="false" customHeight="true" outlineLevel="0" collapsed="false">
      <c r="A18" s="72" t="s">
        <v>88</v>
      </c>
      <c r="B18" s="72"/>
      <c r="C18" s="92" t="n">
        <f aca="false">SUM(C8:C17)</f>
        <v>256029.55</v>
      </c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 s="42"/>
      <c r="DT18" s="42"/>
      <c r="DU18" s="42"/>
      <c r="DV18" s="42"/>
      <c r="DW18" s="42"/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/>
      <c r="EN18" s="42"/>
      <c r="EO18" s="42"/>
      <c r="EP18" s="42"/>
      <c r="EQ18" s="42"/>
      <c r="ER18" s="42"/>
      <c r="ES18" s="42"/>
      <c r="ET18" s="42"/>
      <c r="EU18" s="42"/>
      <c r="EV18" s="42"/>
      <c r="EW18" s="42"/>
      <c r="EX18" s="42"/>
      <c r="EY18" s="42"/>
      <c r="EZ18" s="42"/>
      <c r="FA18" s="42"/>
      <c r="FB18" s="42"/>
      <c r="FC18" s="42"/>
      <c r="FD18" s="42"/>
      <c r="FE18" s="42"/>
      <c r="FF18" s="42"/>
      <c r="FG18" s="42"/>
      <c r="FH18" s="42"/>
      <c r="FI18" s="42"/>
      <c r="FJ18" s="42"/>
      <c r="FK18" s="42"/>
      <c r="FL18" s="42"/>
      <c r="FM18" s="42"/>
      <c r="FN18" s="42"/>
      <c r="FO18" s="42"/>
      <c r="FP18" s="42"/>
      <c r="FQ18" s="42"/>
      <c r="FR18" s="42"/>
      <c r="FS18" s="42"/>
      <c r="FT18" s="42"/>
      <c r="FU18" s="42"/>
      <c r="FV18" s="42"/>
      <c r="FW18" s="42"/>
      <c r="FX18" s="42"/>
      <c r="FY18" s="42"/>
      <c r="FZ18" s="42"/>
      <c r="GA18" s="42"/>
      <c r="GB18" s="42"/>
      <c r="GC18" s="42"/>
      <c r="GD18" s="42"/>
      <c r="GE18" s="42"/>
      <c r="GF18" s="42"/>
      <c r="GG18" s="42"/>
      <c r="GH18" s="42"/>
      <c r="GI18" s="42"/>
      <c r="GJ18" s="42"/>
      <c r="GK18" s="42"/>
      <c r="GL18" s="42"/>
      <c r="GM18" s="42"/>
      <c r="GN18" s="42"/>
      <c r="GO18" s="42"/>
      <c r="GP18" s="42"/>
      <c r="GQ18" s="42"/>
      <c r="GR18" s="42"/>
      <c r="GS18" s="42"/>
      <c r="GT18" s="42"/>
      <c r="GU18" s="42"/>
      <c r="GV18" s="42"/>
      <c r="GW18" s="42"/>
      <c r="GX18" s="42"/>
      <c r="GY18" s="42"/>
      <c r="GZ18" s="42"/>
      <c r="HA18" s="42"/>
      <c r="HB18" s="42"/>
      <c r="HC18" s="42"/>
      <c r="HD18" s="42"/>
      <c r="HE18" s="42"/>
      <c r="HF18" s="42"/>
      <c r="HG18" s="42"/>
      <c r="HH18" s="42"/>
      <c r="HI18" s="42"/>
      <c r="HJ18" s="42"/>
      <c r="HK18" s="42"/>
      <c r="HL18" s="42"/>
      <c r="HM18" s="42"/>
      <c r="HN18" s="42"/>
      <c r="HO18" s="42"/>
      <c r="HP18" s="42"/>
      <c r="HQ18" s="42"/>
      <c r="HR18" s="42"/>
      <c r="HS18" s="42"/>
      <c r="HT18" s="42"/>
      <c r="HU18" s="42"/>
      <c r="HV18" s="42"/>
      <c r="HW18" s="42"/>
      <c r="HX18" s="42"/>
      <c r="HY18" s="42"/>
      <c r="HZ18" s="42"/>
      <c r="IA18" s="42"/>
      <c r="IB18" s="42"/>
      <c r="IC18" s="42"/>
      <c r="ID18" s="42"/>
      <c r="IE18" s="42"/>
      <c r="IF18" s="42"/>
      <c r="IG18" s="42"/>
      <c r="IH18" s="42"/>
      <c r="II18" s="42"/>
      <c r="IJ18" s="42"/>
      <c r="IK18" s="42"/>
      <c r="IL18" s="42"/>
      <c r="IM18" s="42"/>
      <c r="IN18" s="42"/>
      <c r="IO18" s="42"/>
      <c r="IP18" s="42"/>
      <c r="IQ18" s="42"/>
      <c r="IR18" s="42"/>
      <c r="IS18" s="42"/>
      <c r="IT18" s="42"/>
      <c r="IU18" s="42"/>
      <c r="IV18" s="42"/>
      <c r="IW18" s="42"/>
    </row>
    <row r="19" customFormat="false" ht="21" hidden="false" customHeight="true" outlineLevel="0" collapsed="false">
      <c r="A19" s="33" t="s">
        <v>161</v>
      </c>
      <c r="B19" s="33"/>
      <c r="C19" s="93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/>
      <c r="DI19" s="42"/>
      <c r="DJ19" s="42"/>
      <c r="DK19" s="42"/>
      <c r="DL19" s="42"/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42"/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42"/>
      <c r="FH19" s="42"/>
      <c r="FI19" s="42"/>
      <c r="FJ19" s="42"/>
      <c r="FK19" s="42"/>
      <c r="FL19" s="42"/>
      <c r="FM19" s="42"/>
      <c r="FN19" s="42"/>
      <c r="FO19" s="42"/>
      <c r="FP19" s="42"/>
      <c r="FQ19" s="42"/>
      <c r="FR19" s="42"/>
      <c r="FS19" s="42"/>
      <c r="FT19" s="42"/>
      <c r="FU19" s="42"/>
      <c r="FV19" s="42"/>
      <c r="FW19" s="42"/>
      <c r="FX19" s="42"/>
      <c r="FY19" s="42"/>
      <c r="FZ19" s="42"/>
      <c r="GA19" s="42"/>
      <c r="GB19" s="42"/>
      <c r="GC19" s="42"/>
      <c r="GD19" s="42"/>
      <c r="GE19" s="42"/>
      <c r="GF19" s="42"/>
      <c r="GG19" s="42"/>
      <c r="GH19" s="42"/>
      <c r="GI19" s="42"/>
      <c r="GJ19" s="42"/>
      <c r="GK19" s="42"/>
      <c r="GL19" s="42"/>
      <c r="GM19" s="42"/>
      <c r="GN19" s="42"/>
      <c r="GO19" s="42"/>
      <c r="GP19" s="42"/>
      <c r="GQ19" s="42"/>
      <c r="GR19" s="42"/>
      <c r="GS19" s="42"/>
      <c r="GT19" s="42"/>
      <c r="GU19" s="42"/>
      <c r="GV19" s="42"/>
      <c r="GW19" s="42"/>
      <c r="GX19" s="42"/>
      <c r="GY19" s="42"/>
      <c r="GZ19" s="42"/>
      <c r="HA19" s="42"/>
      <c r="HB19" s="42"/>
      <c r="HC19" s="42"/>
      <c r="HD19" s="42"/>
      <c r="HE19" s="42"/>
      <c r="HF19" s="42"/>
      <c r="HG19" s="42"/>
      <c r="HH19" s="42"/>
      <c r="HI19" s="42"/>
      <c r="HJ19" s="42"/>
      <c r="HK19" s="42"/>
      <c r="HL19" s="42"/>
      <c r="HM19" s="42"/>
      <c r="HN19" s="42"/>
      <c r="HO19" s="42"/>
      <c r="HP19" s="42"/>
      <c r="HQ19" s="42"/>
      <c r="HR19" s="42"/>
      <c r="HS19" s="42"/>
      <c r="HT19" s="42"/>
      <c r="HU19" s="42"/>
      <c r="HV19" s="42"/>
      <c r="HW19" s="42"/>
      <c r="HX19" s="42"/>
      <c r="HY19" s="42"/>
      <c r="HZ19" s="42"/>
      <c r="IA19" s="42"/>
      <c r="IB19" s="42"/>
      <c r="IC19" s="42"/>
      <c r="ID19" s="42"/>
      <c r="IE19" s="42"/>
      <c r="IF19" s="42"/>
      <c r="IG19" s="42"/>
      <c r="IH19" s="42"/>
      <c r="II19" s="42"/>
      <c r="IJ19" s="42"/>
      <c r="IK19" s="42"/>
      <c r="IL19" s="42"/>
      <c r="IM19" s="42"/>
      <c r="IN19" s="42"/>
      <c r="IO19" s="42"/>
      <c r="IP19" s="42"/>
      <c r="IQ19" s="42"/>
      <c r="IR19" s="42"/>
      <c r="IS19" s="42"/>
      <c r="IT19" s="42"/>
      <c r="IU19" s="42"/>
      <c r="IV19" s="42"/>
      <c r="IW19" s="42"/>
    </row>
    <row r="20" customFormat="false" ht="21" hidden="false" customHeight="true" outlineLevel="0" collapsed="false">
      <c r="A20" s="39" t="s">
        <v>82</v>
      </c>
      <c r="B20" s="39"/>
      <c r="C20" s="41" t="s">
        <v>83</v>
      </c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2"/>
      <c r="EE20" s="42"/>
      <c r="EF20" s="42"/>
      <c r="EG20" s="42"/>
      <c r="EH20" s="42"/>
      <c r="EI20" s="42"/>
      <c r="EJ20" s="42"/>
      <c r="EK20" s="42"/>
      <c r="EL20" s="42"/>
      <c r="EM20" s="42"/>
      <c r="EN20" s="42"/>
      <c r="EO20" s="42"/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2"/>
      <c r="FA20" s="42"/>
      <c r="FB20" s="42"/>
      <c r="FC20" s="42"/>
      <c r="FD20" s="42"/>
      <c r="FE20" s="42"/>
      <c r="FF20" s="42"/>
      <c r="FG20" s="42"/>
      <c r="FH20" s="42"/>
      <c r="FI20" s="42"/>
      <c r="FJ20" s="42"/>
      <c r="FK20" s="42"/>
      <c r="FL20" s="42"/>
      <c r="FM20" s="42"/>
      <c r="FN20" s="42"/>
      <c r="FO20" s="42"/>
      <c r="FP20" s="42"/>
      <c r="FQ20" s="42"/>
      <c r="FR20" s="42"/>
      <c r="FS20" s="42"/>
      <c r="FT20" s="42"/>
      <c r="FU20" s="42"/>
      <c r="FV20" s="42"/>
      <c r="FW20" s="42"/>
      <c r="FX20" s="42"/>
      <c r="FY20" s="42"/>
      <c r="FZ20" s="42"/>
      <c r="GA20" s="42"/>
      <c r="GB20" s="42"/>
      <c r="GC20" s="42"/>
      <c r="GD20" s="42"/>
      <c r="GE20" s="42"/>
      <c r="GF20" s="42"/>
      <c r="GG20" s="42"/>
      <c r="GH20" s="42"/>
      <c r="GI20" s="42"/>
      <c r="GJ20" s="42"/>
      <c r="GK20" s="42"/>
      <c r="GL20" s="42"/>
      <c r="GM20" s="42"/>
      <c r="GN20" s="42"/>
      <c r="GO20" s="42"/>
      <c r="GP20" s="42"/>
      <c r="GQ20" s="42"/>
      <c r="GR20" s="42"/>
      <c r="GS20" s="42"/>
      <c r="GT20" s="42"/>
      <c r="GU20" s="42"/>
      <c r="GV20" s="42"/>
      <c r="GW20" s="42"/>
      <c r="GX20" s="42"/>
      <c r="GY20" s="42"/>
      <c r="GZ20" s="42"/>
      <c r="HA20" s="42"/>
      <c r="HB20" s="42"/>
      <c r="HC20" s="42"/>
      <c r="HD20" s="42"/>
      <c r="HE20" s="42"/>
      <c r="HF20" s="42"/>
      <c r="HG20" s="42"/>
      <c r="HH20" s="42"/>
      <c r="HI20" s="42"/>
      <c r="HJ20" s="42"/>
      <c r="HK20" s="42"/>
      <c r="HL20" s="42"/>
      <c r="HM20" s="42"/>
      <c r="HN20" s="42"/>
      <c r="HO20" s="42"/>
      <c r="HP20" s="42"/>
      <c r="HQ20" s="42"/>
      <c r="HR20" s="42"/>
      <c r="HS20" s="42"/>
      <c r="HT20" s="42"/>
      <c r="HU20" s="42"/>
      <c r="HV20" s="42"/>
      <c r="HW20" s="42"/>
      <c r="HX20" s="42"/>
      <c r="HY20" s="42"/>
      <c r="HZ20" s="42"/>
      <c r="IA20" s="42"/>
      <c r="IB20" s="42"/>
      <c r="IC20" s="42"/>
      <c r="ID20" s="42"/>
      <c r="IE20" s="42"/>
      <c r="IF20" s="42"/>
      <c r="IG20" s="42"/>
      <c r="IH20" s="42"/>
      <c r="II20" s="42"/>
      <c r="IJ20" s="42"/>
      <c r="IK20" s="42"/>
      <c r="IL20" s="42"/>
      <c r="IM20" s="42"/>
      <c r="IN20" s="42"/>
      <c r="IO20" s="42"/>
      <c r="IP20" s="42"/>
      <c r="IQ20" s="42"/>
      <c r="IR20" s="42"/>
      <c r="IS20" s="42"/>
      <c r="IT20" s="42"/>
      <c r="IU20" s="42"/>
      <c r="IV20" s="42"/>
      <c r="IW20" s="42"/>
    </row>
    <row r="21" customFormat="false" ht="22.2" hidden="false" customHeight="true" outlineLevel="0" collapsed="false"/>
    <row r="23" customFormat="false" ht="13.2" hidden="false" customHeight="false" outlineLevel="0" collapsed="false">
      <c r="G23" s="94"/>
    </row>
  </sheetData>
  <mergeCells count="9">
    <mergeCell ref="A3:C3"/>
    <mergeCell ref="A4:C4"/>
    <mergeCell ref="B5:C5"/>
    <mergeCell ref="A6:A7"/>
    <mergeCell ref="B6:B7"/>
    <mergeCell ref="C6:C7"/>
    <mergeCell ref="A18:B18"/>
    <mergeCell ref="A19:B19"/>
    <mergeCell ref="A20:B20"/>
  </mergeCells>
  <hyperlinks>
    <hyperlink ref="C20" location="'Index '!A1" display="Back to index"/>
  </hyperlinks>
  <printOptions headings="true" gridLines="false" gridLinesSet="true" horizontalCentered="false" verticalCentered="false"/>
  <pageMargins left="0.7" right="0.7" top="0.75" bottom="0.75" header="0.511811023622047" footer="0.511811023622047"/>
  <pageSetup paperSize="9" scale="1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_x0000__x0000__x0000_</Template>
  <TotalTime>0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2019-07-22T20:37:25Z</dcterms:created>
  <dc:creator>Abdulaziz Al-rasheed</dc:creator>
  <dc:description/>
  <cp:keywords/>
  <dc:language>en-IN</dc:language>
  <cp:lastModifiedBy>نوره البقمي - Norah Albaqami</cp:lastModifiedBy>
  <cp:lastPrinted>2022-07-20T15:32:20Z</cp:lastPrinted>
  <dcterms:modified xsi:type="dcterms:W3CDTF">2022-10-30T13:36:37Z</dcterms:modified>
  <cp:revision>0</cp:revision>
  <dc:subject/>
  <dc:title/>
</cp:coreProperties>
</file>